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Monthly Rollup" sheetId="2" state="visible" r:id="rId2"/>
    <sheet xmlns:r="http://schemas.openxmlformats.org/officeDocument/2006/relationships" name="Lists" sheetId="3" state="visible" r:id="rId3"/>
  </sheets>
  <definedNames>
    <definedName name="Channels" hidden="0" function="0" vbProcedure="0">Lists!$B$2:$B$5</definedName>
    <definedName name="SourceCodes" hidden="0" function="0" vbProcedure="0">Lists!$A$2:$A$8</definedName>
    <definedName name="Statuses" hidden="0" function="0" vbProcedure="0">Lists!$C$2:$C$8</definedName>
    <definedName name="_xlnm._FilterDatabase" localSheetId="0" hidden="1">'Leads'!$A$2:$N$502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\ mmm\ yyyy"/>
    <numFmt numFmtId="165" formatCode="0.0%"/>
    <numFmt numFmtId="166" formatCode="mmm\ yyyy"/>
  </numFmts>
  <fonts count="1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color rgb="FFFFEB9C"/>
      <sz val="12"/>
    </font>
    <font>
      <name val="Cambria"/>
      <charset val="1"/>
      <family val="0"/>
      <b val="1"/>
      <color rgb="FFFFEB9C"/>
      <sz val="13"/>
    </font>
    <font>
      <name val="Cambria"/>
      <charset val="1"/>
      <family val="0"/>
      <i val="1"/>
      <color rgb="FFD9D9D9"/>
      <sz val="9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color rgb="FF2F5597"/>
      <sz val="12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C00000"/>
      <sz val="11"/>
    </font>
    <font>
      <name val="Cambria"/>
      <charset val="1"/>
      <family val="0"/>
      <b val="1"/>
      <color rgb="FF1F4E9C"/>
      <sz val="11"/>
    </font>
    <font>
      <name val="Cambria"/>
      <charset val="1"/>
      <family val="0"/>
      <i val="1"/>
      <color rgb="FF7F7F7F"/>
      <sz val="9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404040"/>
      <sz val="10"/>
    </font>
  </fonts>
  <fills count="6">
    <fill>
      <patternFill/>
    </fill>
    <fill>
      <patternFill patternType="gray125"/>
    </fill>
    <fill>
      <patternFill patternType="solid">
        <fgColor rgb="FF2F5597"/>
        <bgColor rgb="FF1F4E9C"/>
      </patternFill>
    </fill>
    <fill>
      <patternFill patternType="solid">
        <fgColor rgb="FF7F7F7F"/>
        <bgColor rgb="FF96969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medium">
        <color rgb="FF2F5597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right" vertical="center"/>
    </xf>
    <xf numFmtId="4" fontId="6" fillId="2" borderId="0" applyAlignment="1" pivotButton="0" quotePrefix="0" xfId="0">
      <alignment horizontal="general" vertical="center"/>
    </xf>
    <xf numFmtId="0" fontId="7" fillId="2" borderId="0" applyAlignment="1" pivotButton="0" quotePrefix="0" xfId="0">
      <alignment horizontal="general" vertical="center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1" fontId="10" fillId="4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4" fontId="10" fillId="4" borderId="0" applyAlignment="1" pivotButton="0" quotePrefix="0" xfId="0">
      <alignment horizontal="general" vertical="bottom"/>
    </xf>
    <xf numFmtId="4" fontId="11" fillId="4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2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165" fontId="10" fillId="0" borderId="2" applyAlignment="1" pivotButton="0" quotePrefix="0" xfId="0">
      <alignment horizontal="general" vertical="bottom"/>
    </xf>
    <xf numFmtId="4" fontId="10" fillId="0" borderId="2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right" vertical="center"/>
    </xf>
    <xf numFmtId="4" fontId="6" fillId="2" borderId="0" applyAlignment="1" pivotButton="0" quotePrefix="0" xfId="0">
      <alignment horizontal="general" vertical="center"/>
    </xf>
    <xf numFmtId="0" fontId="7" fillId="2" borderId="0" applyAlignment="1" pivotButton="0" quotePrefix="0" xfId="0">
      <alignment horizontal="general" vertical="center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1" fontId="10" fillId="4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4" fontId="10" fillId="4" borderId="0" applyAlignment="1" pivotButton="0" quotePrefix="0" xfId="0">
      <alignment horizontal="general" vertical="bottom"/>
    </xf>
    <xf numFmtId="4" fontId="11" fillId="4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2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165" fontId="10" fillId="0" borderId="2" applyAlignment="1" pivotButton="0" quotePrefix="0" xfId="0">
      <alignment horizontal="general" vertical="bottom"/>
    </xf>
    <xf numFmtId="4" fontId="10" fillId="0" borderId="2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2F5597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9C6500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7F7F7F"/>
        </patternFill>
      </fill>
    </dxf>
    <dxf>
      <font>
        <b val="1"/>
        <color rgb="FF9C6500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1F3864"/>
      <rgbColor rgb="FF2E7D32"/>
      <rgbColor rgb="FF003300"/>
      <rgbColor rgb="FF333300"/>
      <rgbColor rgb="FF993300"/>
      <rgbColor rgb="FF993366"/>
      <rgbColor rgb="FF1F4E9C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2F5597"/>
    <outlinePr summaryBelow="1" summaryRight="1"/>
    <pageSetUpPr fitToPage="0"/>
  </sheetPr>
  <dimension ref="A1:N49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6" min="1" max="1"/>
    <col width="18" customWidth="1" style="26" min="2" max="3"/>
    <col width="12" customWidth="1" style="26" min="4" max="4"/>
    <col width="14" customWidth="1" style="26" min="5" max="5"/>
    <col width="22" customWidth="1" style="26" min="6" max="6"/>
    <col width="12" customWidth="1" style="26" min="7" max="7"/>
    <col width="11" customWidth="1" style="26" min="8" max="8"/>
    <col width="13" customWidth="1" style="26" min="9" max="10"/>
    <col width="14" customWidth="1" style="26" min="11" max="11"/>
    <col width="34" customWidth="1" style="26" min="12" max="12"/>
    <col width="9" customWidth="1" style="26" min="13" max="13"/>
    <col width="14" customWidth="1" style="26" min="14" max="14"/>
  </cols>
  <sheetData>
    <row r="1" ht="25.5" customHeight="1" s="27">
      <c r="A1" s="28" t="inlineStr">
        <is>
          <t>Lead Tracker — 15% commission log</t>
        </is>
      </c>
      <c r="I1" s="29" t="inlineStr">
        <is>
          <t>Unpaid commission:</t>
        </is>
      </c>
      <c r="K1" s="30">
        <f>SUM(N3:N502)</f>
        <v/>
      </c>
      <c r="L1" s="31" t="inlineStr">
        <is>
          <t>Grey columns are automatic — don't type in them.</t>
        </is>
      </c>
    </row>
    <row r="2" ht="30" customHeight="1" s="27">
      <c r="A2" s="32" t="inlineStr">
        <is>
          <t>Date Received</t>
        </is>
      </c>
      <c r="B2" s="32" t="inlineStr">
        <is>
          <t>Name</t>
        </is>
      </c>
      <c r="C2" s="32" t="inlineStr">
        <is>
          <t>Company</t>
        </is>
      </c>
      <c r="D2" s="32" t="inlineStr">
        <is>
          <t>Source Code</t>
        </is>
      </c>
      <c r="E2" s="32" t="inlineStr">
        <is>
          <t>Channel</t>
        </is>
      </c>
      <c r="F2" s="32" t="inlineStr">
        <is>
          <t>Service Enquired</t>
        </is>
      </c>
      <c r="G2" s="32" t="inlineStr">
        <is>
          <t>Deal Value (update to actual on invoice)</t>
        </is>
      </c>
      <c r="H2" s="32" t="inlineStr">
        <is>
          <t>Status</t>
        </is>
      </c>
      <c r="I2" s="32" t="inlineStr">
        <is>
          <t>Invoice Date</t>
        </is>
      </c>
      <c r="J2" s="33" t="inlineStr">
        <is>
          <t>Commission Due</t>
        </is>
      </c>
      <c r="K2" s="32" t="inlineStr">
        <is>
          <t>Commission Paid</t>
        </is>
      </c>
      <c r="L2" s="32" t="inlineStr">
        <is>
          <t>Notes</t>
        </is>
      </c>
      <c r="M2" s="33" t="inlineStr">
        <is>
          <t>Won? (auto)</t>
        </is>
      </c>
      <c r="N2" s="33" t="inlineStr">
        <is>
          <t>Commission Outstanding (auto)</t>
        </is>
      </c>
    </row>
    <row r="3" ht="15" customHeight="1" s="27">
      <c r="A3" s="34" t="n"/>
      <c r="B3" s="26" t="n"/>
      <c r="C3" s="26" t="n"/>
      <c r="D3" s="26" t="n"/>
      <c r="E3" s="26" t="n"/>
      <c r="F3" s="26" t="n"/>
      <c r="G3" s="35" t="n"/>
      <c r="H3" s="26" t="n"/>
      <c r="I3" s="34" t="n"/>
      <c r="J3" s="35">
        <f>IF($G8="","",$G8*0.15)</f>
        <v/>
      </c>
      <c r="K3" s="35" t="n"/>
      <c r="L3" s="26" t="n"/>
      <c r="M3" s="36">
        <f>IF($A8="","",IF(OR($H8="delivered",$H8="invoiced",$H8="paid"),1,0))</f>
        <v/>
      </c>
      <c r="N3" s="35">
        <f>IF($A8="","",IF(AND($M8=1,$J8&lt;&gt;""),$J8-IF($K8="",0,$K8),""))</f>
        <v/>
      </c>
    </row>
    <row r="4" ht="15" customHeight="1" s="27">
      <c r="A4" s="34" t="n"/>
      <c r="B4" s="26" t="n"/>
      <c r="C4" s="26" t="n"/>
      <c r="D4" s="26" t="n"/>
      <c r="E4" s="26" t="n"/>
      <c r="F4" s="26" t="n"/>
      <c r="G4" s="35" t="n"/>
      <c r="H4" s="26" t="n"/>
      <c r="I4" s="34" t="n"/>
      <c r="J4" s="35">
        <f>IF($G9="","",$G9*0.15)</f>
        <v/>
      </c>
      <c r="K4" s="35" t="n"/>
      <c r="L4" s="26" t="n"/>
      <c r="M4" s="36">
        <f>IF($A9="","",IF(OR($H9="delivered",$H9="invoiced",$H9="paid"),1,0))</f>
        <v/>
      </c>
      <c r="N4" s="35">
        <f>IF($A9="","",IF(AND($M9=1,$J9&lt;&gt;""),$J9-IF($K9="",0,$K9),""))</f>
        <v/>
      </c>
    </row>
    <row r="5" ht="15" customHeight="1" s="27">
      <c r="A5" s="34" t="n"/>
      <c r="B5" s="26" t="n"/>
      <c r="C5" s="26" t="n"/>
      <c r="D5" s="26" t="n"/>
      <c r="E5" s="26" t="n"/>
      <c r="F5" s="26" t="n"/>
      <c r="G5" s="35" t="n"/>
      <c r="H5" s="26" t="n"/>
      <c r="I5" s="34" t="n"/>
      <c r="J5" s="35">
        <f>IF($G10="","",$G10*0.15)</f>
        <v/>
      </c>
      <c r="K5" s="35" t="n"/>
      <c r="L5" s="26" t="n"/>
      <c r="M5" s="36">
        <f>IF($A10="","",IF(OR($H10="delivered",$H10="invoiced",$H10="paid"),1,0))</f>
        <v/>
      </c>
      <c r="N5" s="35">
        <f>IF($A10="","",IF(AND($M10=1,$J10&lt;&gt;""),$J10-IF($K10="",0,$K10),""))</f>
        <v/>
      </c>
    </row>
    <row r="6" ht="15" customHeight="1" s="27">
      <c r="A6" s="34" t="n"/>
      <c r="B6" s="26" t="n"/>
      <c r="C6" s="26" t="n"/>
      <c r="D6" s="26" t="n"/>
      <c r="E6" s="26" t="n"/>
      <c r="F6" s="26" t="n"/>
      <c r="G6" s="35" t="n"/>
      <c r="H6" s="26" t="n"/>
      <c r="I6" s="34" t="n"/>
      <c r="J6" s="35">
        <f>IF($G11="","",$G11*0.15)</f>
        <v/>
      </c>
      <c r="K6" s="35" t="n"/>
      <c r="L6" s="26" t="n"/>
      <c r="M6" s="36">
        <f>IF($A11="","",IF(OR($H11="delivered",$H11="invoiced",$H11="paid"),1,0))</f>
        <v/>
      </c>
      <c r="N6" s="35">
        <f>IF($A11="","",IF(AND($M11=1,$J11&lt;&gt;""),$J11-IF($K11="",0,$K11),""))</f>
        <v/>
      </c>
    </row>
    <row r="7" ht="15" customHeight="1" s="27">
      <c r="A7" s="34" t="n"/>
      <c r="B7" s="26" t="n"/>
      <c r="C7" s="26" t="n"/>
      <c r="D7" s="26" t="n"/>
      <c r="E7" s="26" t="n"/>
      <c r="F7" s="26" t="n"/>
      <c r="G7" s="35" t="n"/>
      <c r="H7" s="26" t="n"/>
      <c r="I7" s="34" t="n"/>
      <c r="J7" s="35">
        <f>IF($G12="","",$G12*0.15)</f>
        <v/>
      </c>
      <c r="K7" s="35" t="n"/>
      <c r="L7" s="26" t="n"/>
      <c r="M7" s="36">
        <f>IF($A12="","",IF(OR($H12="delivered",$H12="invoiced",$H12="paid"),1,0))</f>
        <v/>
      </c>
      <c r="N7" s="35">
        <f>IF($A12="","",IF(AND($M12=1,$J12&lt;&gt;""),$J12-IF($K12="",0,$K12),""))</f>
        <v/>
      </c>
    </row>
    <row r="8" ht="15" customHeight="1" s="27">
      <c r="A8" s="34" t="n"/>
      <c r="B8" s="26" t="n"/>
      <c r="C8" s="26" t="n"/>
      <c r="D8" s="26" t="n"/>
      <c r="E8" s="26" t="n"/>
      <c r="F8" s="26" t="n"/>
      <c r="G8" s="35" t="n"/>
      <c r="H8" s="26" t="n"/>
      <c r="I8" s="34" t="n"/>
      <c r="J8" s="35">
        <f>IF($G13="","",$G13*0.15)</f>
        <v/>
      </c>
      <c r="K8" s="35" t="n"/>
      <c r="L8" s="26" t="n"/>
      <c r="M8" s="36">
        <f>IF($A13="","",IF(OR($H13="delivered",$H13="invoiced",$H13="paid"),1,0))</f>
        <v/>
      </c>
      <c r="N8" s="35">
        <f>IF($A13="","",IF(AND($M13=1,$J13&lt;&gt;""),$J13-IF($K13="",0,$K13),""))</f>
        <v/>
      </c>
    </row>
    <row r="9" ht="15" customHeight="1" s="27">
      <c r="A9" s="34" t="n"/>
      <c r="B9" s="26" t="n"/>
      <c r="C9" s="26" t="n"/>
      <c r="D9" s="26" t="n"/>
      <c r="E9" s="26" t="n"/>
      <c r="F9" s="26" t="n"/>
      <c r="G9" s="35" t="n"/>
      <c r="H9" s="26" t="n"/>
      <c r="I9" s="34" t="n"/>
      <c r="J9" s="35">
        <f>IF($G14="","",$G14*0.15)</f>
        <v/>
      </c>
      <c r="K9" s="35" t="n"/>
      <c r="L9" s="26" t="n"/>
      <c r="M9" s="36">
        <f>IF($A14="","",IF(OR($H14="delivered",$H14="invoiced",$H14="paid"),1,0))</f>
        <v/>
      </c>
      <c r="N9" s="35">
        <f>IF($A14="","",IF(AND($M14=1,$J14&lt;&gt;""),$J14-IF($K14="",0,$K14),""))</f>
        <v/>
      </c>
    </row>
    <row r="10" ht="15" customHeight="1" s="27">
      <c r="A10" s="34" t="n"/>
      <c r="B10" s="26" t="n"/>
      <c r="C10" s="26" t="n"/>
      <c r="D10" s="26" t="n"/>
      <c r="E10" s="26" t="n"/>
      <c r="F10" s="26" t="n"/>
      <c r="G10" s="35" t="n"/>
      <c r="H10" s="26" t="n"/>
      <c r="I10" s="34" t="n"/>
      <c r="J10" s="35">
        <f>IF($G15="","",$G15*0.15)</f>
        <v/>
      </c>
      <c r="K10" s="35" t="n"/>
      <c r="L10" s="26" t="n"/>
      <c r="M10" s="36">
        <f>IF($A15="","",IF(OR($H15="delivered",$H15="invoiced",$H15="paid"),1,0))</f>
        <v/>
      </c>
      <c r="N10" s="35">
        <f>IF($A15="","",IF(AND($M15=1,$J15&lt;&gt;""),$J15-IF($K15="",0,$K15),""))</f>
        <v/>
      </c>
    </row>
    <row r="11" ht="15" customHeight="1" s="27">
      <c r="A11" s="34" t="n"/>
      <c r="B11" s="26" t="n"/>
      <c r="C11" s="26" t="n"/>
      <c r="D11" s="26" t="n"/>
      <c r="E11" s="26" t="n"/>
      <c r="F11" s="26" t="n"/>
      <c r="G11" s="35" t="n"/>
      <c r="H11" s="26" t="n"/>
      <c r="I11" s="34" t="n"/>
      <c r="J11" s="35">
        <f>IF($G16="","",$G16*0.15)</f>
        <v/>
      </c>
      <c r="K11" s="35" t="n"/>
      <c r="L11" s="26" t="n"/>
      <c r="M11" s="36">
        <f>IF($A16="","",IF(OR($H16="delivered",$H16="invoiced",$H16="paid"),1,0))</f>
        <v/>
      </c>
      <c r="N11" s="35">
        <f>IF($A16="","",IF(AND($M16=1,$J16&lt;&gt;""),$J16-IF($K16="",0,$K16),""))</f>
        <v/>
      </c>
    </row>
    <row r="12" ht="15" customHeight="1" s="27">
      <c r="A12" s="34" t="n"/>
      <c r="B12" s="26" t="n"/>
      <c r="C12" s="26" t="n"/>
      <c r="D12" s="26" t="n"/>
      <c r="E12" s="26" t="n"/>
      <c r="F12" s="26" t="n"/>
      <c r="G12" s="35" t="n"/>
      <c r="H12" s="26" t="n"/>
      <c r="I12" s="34" t="n"/>
      <c r="J12" s="35">
        <f>IF($G17="","",$G17*0.15)</f>
        <v/>
      </c>
      <c r="K12" s="35" t="n"/>
      <c r="L12" s="26" t="n"/>
      <c r="M12" s="36">
        <f>IF($A17="","",IF(OR($H17="delivered",$H17="invoiced",$H17="paid"),1,0))</f>
        <v/>
      </c>
      <c r="N12" s="35">
        <f>IF($A17="","",IF(AND($M17=1,$J17&lt;&gt;""),$J17-IF($K17="",0,$K17),""))</f>
        <v/>
      </c>
    </row>
    <row r="13" ht="15" customHeight="1" s="27">
      <c r="A13" s="34" t="n"/>
      <c r="B13" s="26" t="n"/>
      <c r="C13" s="26" t="n"/>
      <c r="D13" s="26" t="n"/>
      <c r="E13" s="26" t="n"/>
      <c r="F13" s="26" t="n"/>
      <c r="G13" s="35" t="n"/>
      <c r="H13" s="26" t="n"/>
      <c r="I13" s="34" t="n"/>
      <c r="J13" s="35">
        <f>IF($G18="","",$G18*0.15)</f>
        <v/>
      </c>
      <c r="K13" s="35" t="n"/>
      <c r="L13" s="26" t="n"/>
      <c r="M13" s="36">
        <f>IF($A18="","",IF(OR($H18="delivered",$H18="invoiced",$H18="paid"),1,0))</f>
        <v/>
      </c>
      <c r="N13" s="35">
        <f>IF($A18="","",IF(AND($M18=1,$J18&lt;&gt;""),$J18-IF($K18="",0,$K18),""))</f>
        <v/>
      </c>
    </row>
    <row r="14" ht="15" customHeight="1" s="27">
      <c r="A14" s="34" t="n"/>
      <c r="B14" s="26" t="n"/>
      <c r="C14" s="26" t="n"/>
      <c r="D14" s="26" t="n"/>
      <c r="E14" s="26" t="n"/>
      <c r="F14" s="26" t="n"/>
      <c r="G14" s="35" t="n"/>
      <c r="H14" s="26" t="n"/>
      <c r="I14" s="34" t="n"/>
      <c r="J14" s="35">
        <f>IF($G19="","",$G19*0.15)</f>
        <v/>
      </c>
      <c r="K14" s="35" t="n"/>
      <c r="L14" s="26" t="n"/>
      <c r="M14" s="36">
        <f>IF($A19="","",IF(OR($H19="delivered",$H19="invoiced",$H19="paid"),1,0))</f>
        <v/>
      </c>
      <c r="N14" s="35">
        <f>IF($A19="","",IF(AND($M19=1,$J19&lt;&gt;""),$J19-IF($K19="",0,$K19),""))</f>
        <v/>
      </c>
    </row>
    <row r="15" ht="15" customHeight="1" s="27">
      <c r="A15" s="34" t="n"/>
      <c r="B15" s="26" t="n"/>
      <c r="C15" s="26" t="n"/>
      <c r="D15" s="26" t="n"/>
      <c r="E15" s="26" t="n"/>
      <c r="F15" s="26" t="n"/>
      <c r="G15" s="35" t="n"/>
      <c r="H15" s="26" t="n"/>
      <c r="I15" s="34" t="n"/>
      <c r="J15" s="35">
        <f>IF($G20="","",$G20*0.15)</f>
        <v/>
      </c>
      <c r="K15" s="35" t="n"/>
      <c r="L15" s="26" t="n"/>
      <c r="M15" s="36">
        <f>IF($A20="","",IF(OR($H20="delivered",$H20="invoiced",$H20="paid"),1,0))</f>
        <v/>
      </c>
      <c r="N15" s="35">
        <f>IF($A20="","",IF(AND($M20=1,$J20&lt;&gt;""),$J20-IF($K20="",0,$K20),""))</f>
        <v/>
      </c>
    </row>
    <row r="16" ht="15" customHeight="1" s="27">
      <c r="A16" s="34" t="n"/>
      <c r="B16" s="26" t="n"/>
      <c r="C16" s="26" t="n"/>
      <c r="D16" s="26" t="n"/>
      <c r="E16" s="26" t="n"/>
      <c r="F16" s="26" t="n"/>
      <c r="G16" s="35" t="n"/>
      <c r="H16" s="26" t="n"/>
      <c r="I16" s="34" t="n"/>
      <c r="J16" s="35">
        <f>IF($G21="","",$G21*0.15)</f>
        <v/>
      </c>
      <c r="K16" s="35" t="n"/>
      <c r="L16" s="26" t="n"/>
      <c r="M16" s="36">
        <f>IF($A21="","",IF(OR($H21="delivered",$H21="invoiced",$H21="paid"),1,0))</f>
        <v/>
      </c>
      <c r="N16" s="35">
        <f>IF($A21="","",IF(AND($M21=1,$J21&lt;&gt;""),$J21-IF($K21="",0,$K21),""))</f>
        <v/>
      </c>
    </row>
    <row r="17" ht="15" customHeight="1" s="27">
      <c r="A17" s="34" t="n"/>
      <c r="B17" s="26" t="n"/>
      <c r="C17" s="26" t="n"/>
      <c r="D17" s="26" t="n"/>
      <c r="E17" s="26" t="n"/>
      <c r="F17" s="26" t="n"/>
      <c r="G17" s="35" t="n"/>
      <c r="H17" s="26" t="n"/>
      <c r="I17" s="34" t="n"/>
      <c r="J17" s="35">
        <f>IF($G22="","",$G22*0.15)</f>
        <v/>
      </c>
      <c r="K17" s="35" t="n"/>
      <c r="L17" s="26" t="n"/>
      <c r="M17" s="36">
        <f>IF($A22="","",IF(OR($H22="delivered",$H22="invoiced",$H22="paid"),1,0))</f>
        <v/>
      </c>
      <c r="N17" s="35">
        <f>IF($A22="","",IF(AND($M22=1,$J22&lt;&gt;""),$J22-IF($K22="",0,$K22),""))</f>
        <v/>
      </c>
    </row>
    <row r="18" ht="15" customHeight="1" s="27">
      <c r="A18" s="34" t="n"/>
      <c r="B18" s="26" t="n"/>
      <c r="C18" s="26" t="n"/>
      <c r="D18" s="26" t="n"/>
      <c r="E18" s="26" t="n"/>
      <c r="F18" s="26" t="n"/>
      <c r="G18" s="35" t="n"/>
      <c r="H18" s="26" t="n"/>
      <c r="I18" s="34" t="n"/>
      <c r="J18" s="35">
        <f>IF($G23="","",$G23*0.15)</f>
        <v/>
      </c>
      <c r="K18" s="35" t="n"/>
      <c r="L18" s="26" t="n"/>
      <c r="M18" s="36">
        <f>IF($A23="","",IF(OR($H23="delivered",$H23="invoiced",$H23="paid"),1,0))</f>
        <v/>
      </c>
      <c r="N18" s="35">
        <f>IF($A23="","",IF(AND($M23=1,$J23&lt;&gt;""),$J23-IF($K23="",0,$K23),""))</f>
        <v/>
      </c>
    </row>
    <row r="19" ht="15" customHeight="1" s="27">
      <c r="A19" s="34" t="n"/>
      <c r="B19" s="26" t="n"/>
      <c r="C19" s="26" t="n"/>
      <c r="D19" s="26" t="n"/>
      <c r="E19" s="26" t="n"/>
      <c r="F19" s="26" t="n"/>
      <c r="G19" s="35" t="n"/>
      <c r="H19" s="26" t="n"/>
      <c r="I19" s="34" t="n"/>
      <c r="J19" s="35">
        <f>IF($G24="","",$G24*0.15)</f>
        <v/>
      </c>
      <c r="K19" s="35" t="n"/>
      <c r="L19" s="26" t="n"/>
      <c r="M19" s="36">
        <f>IF($A24="","",IF(OR($H24="delivered",$H24="invoiced",$H24="paid"),1,0))</f>
        <v/>
      </c>
      <c r="N19" s="35">
        <f>IF($A24="","",IF(AND($M24=1,$J24&lt;&gt;""),$J24-IF($K24="",0,$K24),""))</f>
        <v/>
      </c>
    </row>
    <row r="20" ht="15" customHeight="1" s="27">
      <c r="A20" s="34" t="n"/>
      <c r="B20" s="26" t="n"/>
      <c r="C20" s="26" t="n"/>
      <c r="D20" s="26" t="n"/>
      <c r="E20" s="26" t="n"/>
      <c r="F20" s="26" t="n"/>
      <c r="G20" s="35" t="n"/>
      <c r="H20" s="26" t="n"/>
      <c r="I20" s="34" t="n"/>
      <c r="J20" s="35">
        <f>IF($G25="","",$G25*0.15)</f>
        <v/>
      </c>
      <c r="K20" s="35" t="n"/>
      <c r="L20" s="26" t="n"/>
      <c r="M20" s="36">
        <f>IF($A25="","",IF(OR($H25="delivered",$H25="invoiced",$H25="paid"),1,0))</f>
        <v/>
      </c>
      <c r="N20" s="35">
        <f>IF($A25="","",IF(AND($M25=1,$J25&lt;&gt;""),$J25-IF($K25="",0,$K25),""))</f>
        <v/>
      </c>
    </row>
    <row r="21" ht="15" customHeight="1" s="27">
      <c r="A21" s="34" t="n"/>
      <c r="B21" s="26" t="n"/>
      <c r="C21" s="26" t="n"/>
      <c r="D21" s="26" t="n"/>
      <c r="E21" s="26" t="n"/>
      <c r="F21" s="26" t="n"/>
      <c r="G21" s="35" t="n"/>
      <c r="H21" s="26" t="n"/>
      <c r="I21" s="34" t="n"/>
      <c r="J21" s="35">
        <f>IF($G26="","",$G26*0.15)</f>
        <v/>
      </c>
      <c r="K21" s="35" t="n"/>
      <c r="L21" s="26" t="n"/>
      <c r="M21" s="36">
        <f>IF($A26="","",IF(OR($H26="delivered",$H26="invoiced",$H26="paid"),1,0))</f>
        <v/>
      </c>
      <c r="N21" s="35">
        <f>IF($A26="","",IF(AND($M26=1,$J26&lt;&gt;""),$J26-IF($K26="",0,$K26),""))</f>
        <v/>
      </c>
    </row>
    <row r="22" ht="15" customHeight="1" s="27">
      <c r="A22" s="34" t="n"/>
      <c r="B22" s="26" t="n"/>
      <c r="C22" s="26" t="n"/>
      <c r="D22" s="26" t="n"/>
      <c r="E22" s="26" t="n"/>
      <c r="F22" s="26" t="n"/>
      <c r="G22" s="35" t="n"/>
      <c r="H22" s="26" t="n"/>
      <c r="I22" s="34" t="n"/>
      <c r="J22" s="35">
        <f>IF($G27="","",$G27*0.15)</f>
        <v/>
      </c>
      <c r="K22" s="35" t="n"/>
      <c r="L22" s="26" t="n"/>
      <c r="M22" s="36">
        <f>IF($A27="","",IF(OR($H27="delivered",$H27="invoiced",$H27="paid"),1,0))</f>
        <v/>
      </c>
      <c r="N22" s="35">
        <f>IF($A27="","",IF(AND($M27=1,$J27&lt;&gt;""),$J27-IF($K27="",0,$K27),""))</f>
        <v/>
      </c>
    </row>
    <row r="23" ht="15" customHeight="1" s="27">
      <c r="A23" s="34" t="n"/>
      <c r="B23" s="26" t="n"/>
      <c r="C23" s="26" t="n"/>
      <c r="D23" s="26" t="n"/>
      <c r="E23" s="26" t="n"/>
      <c r="F23" s="26" t="n"/>
      <c r="G23" s="35" t="n"/>
      <c r="H23" s="26" t="n"/>
      <c r="I23" s="34" t="n"/>
      <c r="J23" s="35">
        <f>IF($G28="","",$G28*0.15)</f>
        <v/>
      </c>
      <c r="K23" s="35" t="n"/>
      <c r="L23" s="26" t="n"/>
      <c r="M23" s="36">
        <f>IF($A28="","",IF(OR($H28="delivered",$H28="invoiced",$H28="paid"),1,0))</f>
        <v/>
      </c>
      <c r="N23" s="35">
        <f>IF($A28="","",IF(AND($M28=1,$J28&lt;&gt;""),$J28-IF($K28="",0,$K28),""))</f>
        <v/>
      </c>
    </row>
    <row r="24" ht="15" customHeight="1" s="27">
      <c r="A24" s="34" t="n"/>
      <c r="B24" s="26" t="n"/>
      <c r="C24" s="26" t="n"/>
      <c r="D24" s="26" t="n"/>
      <c r="E24" s="26" t="n"/>
      <c r="F24" s="26" t="n"/>
      <c r="G24" s="35" t="n"/>
      <c r="H24" s="26" t="n"/>
      <c r="I24" s="34" t="n"/>
      <c r="J24" s="35">
        <f>IF($G29="","",$G29*0.15)</f>
        <v/>
      </c>
      <c r="K24" s="35" t="n"/>
      <c r="L24" s="26" t="n"/>
      <c r="M24" s="36">
        <f>IF($A29="","",IF(OR($H29="delivered",$H29="invoiced",$H29="paid"),1,0))</f>
        <v/>
      </c>
      <c r="N24" s="35">
        <f>IF($A29="","",IF(AND($M29=1,$J29&lt;&gt;""),$J29-IF($K29="",0,$K29),""))</f>
        <v/>
      </c>
    </row>
    <row r="25" ht="15" customHeight="1" s="27">
      <c r="A25" s="34" t="n"/>
      <c r="B25" s="26" t="n"/>
      <c r="C25" s="26" t="n"/>
      <c r="D25" s="26" t="n"/>
      <c r="E25" s="26" t="n"/>
      <c r="F25" s="26" t="n"/>
      <c r="G25" s="35" t="n"/>
      <c r="H25" s="26" t="n"/>
      <c r="I25" s="34" t="n"/>
      <c r="J25" s="35">
        <f>IF($G30="","",$G30*0.15)</f>
        <v/>
      </c>
      <c r="K25" s="35" t="n"/>
      <c r="L25" s="26" t="n"/>
      <c r="M25" s="36">
        <f>IF($A30="","",IF(OR($H30="delivered",$H30="invoiced",$H30="paid"),1,0))</f>
        <v/>
      </c>
      <c r="N25" s="35">
        <f>IF($A30="","",IF(AND($M30=1,$J30&lt;&gt;""),$J30-IF($K30="",0,$K30),""))</f>
        <v/>
      </c>
    </row>
    <row r="26" ht="15" customHeight="1" s="27">
      <c r="A26" s="34" t="n"/>
      <c r="B26" s="26" t="n"/>
      <c r="C26" s="26" t="n"/>
      <c r="D26" s="26" t="n"/>
      <c r="E26" s="26" t="n"/>
      <c r="F26" s="26" t="n"/>
      <c r="G26" s="35" t="n"/>
      <c r="H26" s="26" t="n"/>
      <c r="I26" s="34" t="n"/>
      <c r="J26" s="35">
        <f>IF($G31="","",$G31*0.15)</f>
        <v/>
      </c>
      <c r="K26" s="35" t="n"/>
      <c r="L26" s="26" t="n"/>
      <c r="M26" s="36">
        <f>IF($A31="","",IF(OR($H31="delivered",$H31="invoiced",$H31="paid"),1,0))</f>
        <v/>
      </c>
      <c r="N26" s="35">
        <f>IF($A31="","",IF(AND($M31=1,$J31&lt;&gt;""),$J31-IF($K31="",0,$K31),""))</f>
        <v/>
      </c>
    </row>
    <row r="27" ht="15" customHeight="1" s="27">
      <c r="A27" s="34" t="n"/>
      <c r="B27" s="26" t="n"/>
      <c r="C27" s="26" t="n"/>
      <c r="D27" s="26" t="n"/>
      <c r="E27" s="26" t="n"/>
      <c r="F27" s="26" t="n"/>
      <c r="G27" s="35" t="n"/>
      <c r="H27" s="26" t="n"/>
      <c r="I27" s="34" t="n"/>
      <c r="J27" s="35">
        <f>IF($G32="","",$G32*0.15)</f>
        <v/>
      </c>
      <c r="K27" s="35" t="n"/>
      <c r="L27" s="26" t="n"/>
      <c r="M27" s="36">
        <f>IF($A32="","",IF(OR($H32="delivered",$H32="invoiced",$H32="paid"),1,0))</f>
        <v/>
      </c>
      <c r="N27" s="35">
        <f>IF($A32="","",IF(AND($M32=1,$J32&lt;&gt;""),$J32-IF($K32="",0,$K32),""))</f>
        <v/>
      </c>
    </row>
    <row r="28" ht="15" customHeight="1" s="27">
      <c r="A28" s="34" t="n"/>
      <c r="B28" s="26" t="n"/>
      <c r="C28" s="26" t="n"/>
      <c r="D28" s="26" t="n"/>
      <c r="E28" s="26" t="n"/>
      <c r="F28" s="26" t="n"/>
      <c r="G28" s="35" t="n"/>
      <c r="H28" s="26" t="n"/>
      <c r="I28" s="34" t="n"/>
      <c r="J28" s="35">
        <f>IF($G33="","",$G33*0.15)</f>
        <v/>
      </c>
      <c r="K28" s="35" t="n"/>
      <c r="L28" s="26" t="n"/>
      <c r="M28" s="36">
        <f>IF($A33="","",IF(OR($H33="delivered",$H33="invoiced",$H33="paid"),1,0))</f>
        <v/>
      </c>
      <c r="N28" s="35">
        <f>IF($A33="","",IF(AND($M33=1,$J33&lt;&gt;""),$J33-IF($K33="",0,$K33),""))</f>
        <v/>
      </c>
    </row>
    <row r="29" ht="15" customHeight="1" s="27">
      <c r="A29" s="34" t="n"/>
      <c r="B29" s="26" t="n"/>
      <c r="C29" s="26" t="n"/>
      <c r="D29" s="26" t="n"/>
      <c r="E29" s="26" t="n"/>
      <c r="F29" s="26" t="n"/>
      <c r="G29" s="35" t="n"/>
      <c r="H29" s="26" t="n"/>
      <c r="I29" s="34" t="n"/>
      <c r="J29" s="35">
        <f>IF($G34="","",$G34*0.15)</f>
        <v/>
      </c>
      <c r="K29" s="35" t="n"/>
      <c r="L29" s="26" t="n"/>
      <c r="M29" s="36">
        <f>IF($A34="","",IF(OR($H34="delivered",$H34="invoiced",$H34="paid"),1,0))</f>
        <v/>
      </c>
      <c r="N29" s="35">
        <f>IF($A34="","",IF(AND($M34=1,$J34&lt;&gt;""),$J34-IF($K34="",0,$K34),""))</f>
        <v/>
      </c>
    </row>
    <row r="30" ht="15" customHeight="1" s="27">
      <c r="A30" s="34" t="n"/>
      <c r="B30" s="26" t="n"/>
      <c r="C30" s="26" t="n"/>
      <c r="D30" s="26" t="n"/>
      <c r="E30" s="26" t="n"/>
      <c r="F30" s="26" t="n"/>
      <c r="G30" s="35" t="n"/>
      <c r="H30" s="26" t="n"/>
      <c r="I30" s="34" t="n"/>
      <c r="J30" s="35">
        <f>IF($G35="","",$G35*0.15)</f>
        <v/>
      </c>
      <c r="K30" s="35" t="n"/>
      <c r="L30" s="26" t="n"/>
      <c r="M30" s="36">
        <f>IF($A35="","",IF(OR($H35="delivered",$H35="invoiced",$H35="paid"),1,0))</f>
        <v/>
      </c>
      <c r="N30" s="35">
        <f>IF($A35="","",IF(AND($M35=1,$J35&lt;&gt;""),$J35-IF($K35="",0,$K35),""))</f>
        <v/>
      </c>
    </row>
    <row r="31" ht="15" customHeight="1" s="27">
      <c r="A31" s="34" t="n"/>
      <c r="B31" s="26" t="n"/>
      <c r="C31" s="26" t="n"/>
      <c r="D31" s="26" t="n"/>
      <c r="E31" s="26" t="n"/>
      <c r="F31" s="26" t="n"/>
      <c r="G31" s="35" t="n"/>
      <c r="H31" s="26" t="n"/>
      <c r="I31" s="34" t="n"/>
      <c r="J31" s="35">
        <f>IF($G36="","",$G36*0.15)</f>
        <v/>
      </c>
      <c r="K31" s="35" t="n"/>
      <c r="L31" s="26" t="n"/>
      <c r="M31" s="36">
        <f>IF($A36="","",IF(OR($H36="delivered",$H36="invoiced",$H36="paid"),1,0))</f>
        <v/>
      </c>
      <c r="N31" s="35">
        <f>IF($A36="","",IF(AND($M36=1,$J36&lt;&gt;""),$J36-IF($K36="",0,$K36),""))</f>
        <v/>
      </c>
    </row>
    <row r="32" ht="15" customHeight="1" s="27">
      <c r="A32" s="34" t="n"/>
      <c r="B32" s="26" t="n"/>
      <c r="C32" s="26" t="n"/>
      <c r="D32" s="26" t="n"/>
      <c r="E32" s="26" t="n"/>
      <c r="F32" s="26" t="n"/>
      <c r="G32" s="35" t="n"/>
      <c r="H32" s="26" t="n"/>
      <c r="I32" s="34" t="n"/>
      <c r="J32" s="35">
        <f>IF($G37="","",$G37*0.15)</f>
        <v/>
      </c>
      <c r="K32" s="35" t="n"/>
      <c r="L32" s="26" t="n"/>
      <c r="M32" s="36">
        <f>IF($A37="","",IF(OR($H37="delivered",$H37="invoiced",$H37="paid"),1,0))</f>
        <v/>
      </c>
      <c r="N32" s="35">
        <f>IF($A37="","",IF(AND($M37=1,$J37&lt;&gt;""),$J37-IF($K37="",0,$K37),""))</f>
        <v/>
      </c>
    </row>
    <row r="33" ht="15" customHeight="1" s="27">
      <c r="A33" s="34" t="n"/>
      <c r="B33" s="26" t="n"/>
      <c r="C33" s="26" t="n"/>
      <c r="D33" s="26" t="n"/>
      <c r="E33" s="26" t="n"/>
      <c r="F33" s="26" t="n"/>
      <c r="G33" s="35" t="n"/>
      <c r="H33" s="26" t="n"/>
      <c r="I33" s="34" t="n"/>
      <c r="J33" s="35">
        <f>IF($G38="","",$G38*0.15)</f>
        <v/>
      </c>
      <c r="K33" s="35" t="n"/>
      <c r="L33" s="26" t="n"/>
      <c r="M33" s="36">
        <f>IF($A38="","",IF(OR($H38="delivered",$H38="invoiced",$H38="paid"),1,0))</f>
        <v/>
      </c>
      <c r="N33" s="35">
        <f>IF($A38="","",IF(AND($M38=1,$J38&lt;&gt;""),$J38-IF($K38="",0,$K38),""))</f>
        <v/>
      </c>
    </row>
    <row r="34" ht="15" customHeight="1" s="27">
      <c r="A34" s="34" t="n"/>
      <c r="B34" s="26" t="n"/>
      <c r="C34" s="26" t="n"/>
      <c r="D34" s="26" t="n"/>
      <c r="E34" s="26" t="n"/>
      <c r="F34" s="26" t="n"/>
      <c r="G34" s="35" t="n"/>
      <c r="H34" s="26" t="n"/>
      <c r="I34" s="34" t="n"/>
      <c r="J34" s="35">
        <f>IF($G39="","",$G39*0.15)</f>
        <v/>
      </c>
      <c r="K34" s="35" t="n"/>
      <c r="L34" s="26" t="n"/>
      <c r="M34" s="36">
        <f>IF($A39="","",IF(OR($H39="delivered",$H39="invoiced",$H39="paid"),1,0))</f>
        <v/>
      </c>
      <c r="N34" s="35">
        <f>IF($A39="","",IF(AND($M39=1,$J39&lt;&gt;""),$J39-IF($K39="",0,$K39),""))</f>
        <v/>
      </c>
    </row>
    <row r="35" ht="15" customHeight="1" s="27">
      <c r="A35" s="34" t="n"/>
      <c r="B35" s="26" t="n"/>
      <c r="C35" s="26" t="n"/>
      <c r="D35" s="26" t="n"/>
      <c r="E35" s="26" t="n"/>
      <c r="F35" s="26" t="n"/>
      <c r="G35" s="35" t="n"/>
      <c r="H35" s="26" t="n"/>
      <c r="I35" s="34" t="n"/>
      <c r="J35" s="35">
        <f>IF($G40="","",$G40*0.15)</f>
        <v/>
      </c>
      <c r="K35" s="35" t="n"/>
      <c r="L35" s="26" t="n"/>
      <c r="M35" s="36">
        <f>IF($A40="","",IF(OR($H40="delivered",$H40="invoiced",$H40="paid"),1,0))</f>
        <v/>
      </c>
      <c r="N35" s="35">
        <f>IF($A40="","",IF(AND($M40=1,$J40&lt;&gt;""),$J40-IF($K40="",0,$K40),""))</f>
        <v/>
      </c>
    </row>
    <row r="36" ht="15" customHeight="1" s="27">
      <c r="A36" s="34" t="n"/>
      <c r="B36" s="26" t="n"/>
      <c r="C36" s="26" t="n"/>
      <c r="D36" s="26" t="n"/>
      <c r="E36" s="26" t="n"/>
      <c r="F36" s="26" t="n"/>
      <c r="G36" s="35" t="n"/>
      <c r="H36" s="26" t="n"/>
      <c r="I36" s="34" t="n"/>
      <c r="J36" s="35">
        <f>IF($G41="","",$G41*0.15)</f>
        <v/>
      </c>
      <c r="K36" s="35" t="n"/>
      <c r="L36" s="26" t="n"/>
      <c r="M36" s="36">
        <f>IF($A41="","",IF(OR($H41="delivered",$H41="invoiced",$H41="paid"),1,0))</f>
        <v/>
      </c>
      <c r="N36" s="35">
        <f>IF($A41="","",IF(AND($M41=1,$J41&lt;&gt;""),$J41-IF($K41="",0,$K41),""))</f>
        <v/>
      </c>
    </row>
    <row r="37" ht="15" customHeight="1" s="27">
      <c r="A37" s="34" t="n"/>
      <c r="B37" s="26" t="n"/>
      <c r="C37" s="26" t="n"/>
      <c r="D37" s="26" t="n"/>
      <c r="E37" s="26" t="n"/>
      <c r="F37" s="26" t="n"/>
      <c r="G37" s="35" t="n"/>
      <c r="H37" s="26" t="n"/>
      <c r="I37" s="34" t="n"/>
      <c r="J37" s="35">
        <f>IF($G42="","",$G42*0.15)</f>
        <v/>
      </c>
      <c r="K37" s="35" t="n"/>
      <c r="L37" s="26" t="n"/>
      <c r="M37" s="36">
        <f>IF($A42="","",IF(OR($H42="delivered",$H42="invoiced",$H42="paid"),1,0))</f>
        <v/>
      </c>
      <c r="N37" s="35">
        <f>IF($A42="","",IF(AND($M42=1,$J42&lt;&gt;""),$J42-IF($K42="",0,$K42),""))</f>
        <v/>
      </c>
    </row>
    <row r="38" ht="15" customHeight="1" s="27">
      <c r="A38" s="34" t="n"/>
      <c r="B38" s="26" t="n"/>
      <c r="C38" s="26" t="n"/>
      <c r="D38" s="26" t="n"/>
      <c r="E38" s="26" t="n"/>
      <c r="F38" s="26" t="n"/>
      <c r="G38" s="35" t="n"/>
      <c r="H38" s="26" t="n"/>
      <c r="I38" s="34" t="n"/>
      <c r="J38" s="35">
        <f>IF($G43="","",$G43*0.15)</f>
        <v/>
      </c>
      <c r="K38" s="35" t="n"/>
      <c r="L38" s="26" t="n"/>
      <c r="M38" s="36">
        <f>IF($A43="","",IF(OR($H43="delivered",$H43="invoiced",$H43="paid"),1,0))</f>
        <v/>
      </c>
      <c r="N38" s="35">
        <f>IF($A43="","",IF(AND($M43=1,$J43&lt;&gt;""),$J43-IF($K43="",0,$K43),""))</f>
        <v/>
      </c>
    </row>
    <row r="39" ht="15" customHeight="1" s="27">
      <c r="A39" s="34" t="n"/>
      <c r="B39" s="26" t="n"/>
      <c r="C39" s="26" t="n"/>
      <c r="D39" s="26" t="n"/>
      <c r="E39" s="26" t="n"/>
      <c r="F39" s="26" t="n"/>
      <c r="G39" s="35" t="n"/>
      <c r="H39" s="26" t="n"/>
      <c r="I39" s="34" t="n"/>
      <c r="J39" s="35">
        <f>IF($G44="","",$G44*0.15)</f>
        <v/>
      </c>
      <c r="K39" s="35" t="n"/>
      <c r="L39" s="26" t="n"/>
      <c r="M39" s="36">
        <f>IF($A44="","",IF(OR($H44="delivered",$H44="invoiced",$H44="paid"),1,0))</f>
        <v/>
      </c>
      <c r="N39" s="35">
        <f>IF($A44="","",IF(AND($M44=1,$J44&lt;&gt;""),$J44-IF($K44="",0,$K44),""))</f>
        <v/>
      </c>
    </row>
    <row r="40" ht="15" customHeight="1" s="27">
      <c r="A40" s="34" t="n"/>
      <c r="B40" s="26" t="n"/>
      <c r="C40" s="26" t="n"/>
      <c r="D40" s="26" t="n"/>
      <c r="E40" s="26" t="n"/>
      <c r="F40" s="26" t="n"/>
      <c r="G40" s="35" t="n"/>
      <c r="H40" s="26" t="n"/>
      <c r="I40" s="34" t="n"/>
      <c r="J40" s="35">
        <f>IF($G45="","",$G45*0.15)</f>
        <v/>
      </c>
      <c r="K40" s="35" t="n"/>
      <c r="L40" s="26" t="n"/>
      <c r="M40" s="36">
        <f>IF($A45="","",IF(OR($H45="delivered",$H45="invoiced",$H45="paid"),1,0))</f>
        <v/>
      </c>
      <c r="N40" s="35">
        <f>IF($A45="","",IF(AND($M45=1,$J45&lt;&gt;""),$J45-IF($K45="",0,$K45),""))</f>
        <v/>
      </c>
    </row>
    <row r="41" ht="15" customHeight="1" s="27">
      <c r="A41" s="34" t="n"/>
      <c r="B41" s="26" t="n"/>
      <c r="C41" s="26" t="n"/>
      <c r="D41" s="26" t="n"/>
      <c r="E41" s="26" t="n"/>
      <c r="F41" s="26" t="n"/>
      <c r="G41" s="35" t="n"/>
      <c r="H41" s="26" t="n"/>
      <c r="I41" s="34" t="n"/>
      <c r="J41" s="35">
        <f>IF($G46="","",$G46*0.15)</f>
        <v/>
      </c>
      <c r="K41" s="35" t="n"/>
      <c r="L41" s="26" t="n"/>
      <c r="M41" s="36">
        <f>IF($A46="","",IF(OR($H46="delivered",$H46="invoiced",$H46="paid"),1,0))</f>
        <v/>
      </c>
      <c r="N41" s="35">
        <f>IF($A46="","",IF(AND($M46=1,$J46&lt;&gt;""),$J46-IF($K46="",0,$K46),""))</f>
        <v/>
      </c>
    </row>
    <row r="42" ht="15" customHeight="1" s="27">
      <c r="A42" s="34" t="n"/>
      <c r="B42" s="26" t="n"/>
      <c r="C42" s="26" t="n"/>
      <c r="D42" s="26" t="n"/>
      <c r="E42" s="26" t="n"/>
      <c r="F42" s="26" t="n"/>
      <c r="G42" s="35" t="n"/>
      <c r="H42" s="26" t="n"/>
      <c r="I42" s="34" t="n"/>
      <c r="J42" s="35">
        <f>IF($G47="","",$G47*0.15)</f>
        <v/>
      </c>
      <c r="K42" s="35" t="n"/>
      <c r="L42" s="26" t="n"/>
      <c r="M42" s="36">
        <f>IF($A47="","",IF(OR($H47="delivered",$H47="invoiced",$H47="paid"),1,0))</f>
        <v/>
      </c>
      <c r="N42" s="35">
        <f>IF($A47="","",IF(AND($M47=1,$J47&lt;&gt;""),$J47-IF($K47="",0,$K47),""))</f>
        <v/>
      </c>
    </row>
    <row r="43" ht="15" customHeight="1" s="27">
      <c r="A43" s="34" t="n"/>
      <c r="B43" s="26" t="n"/>
      <c r="C43" s="26" t="n"/>
      <c r="D43" s="26" t="n"/>
      <c r="E43" s="26" t="n"/>
      <c r="F43" s="26" t="n"/>
      <c r="G43" s="35" t="n"/>
      <c r="H43" s="26" t="n"/>
      <c r="I43" s="34" t="n"/>
      <c r="J43" s="35">
        <f>IF($G48="","",$G48*0.15)</f>
        <v/>
      </c>
      <c r="K43" s="35" t="n"/>
      <c r="L43" s="26" t="n"/>
      <c r="M43" s="36">
        <f>IF($A48="","",IF(OR($H48="delivered",$H48="invoiced",$H48="paid"),1,0))</f>
        <v/>
      </c>
      <c r="N43" s="35">
        <f>IF($A48="","",IF(AND($M48=1,$J48&lt;&gt;""),$J48-IF($K48="",0,$K48),""))</f>
        <v/>
      </c>
    </row>
    <row r="44" ht="15" customHeight="1" s="27">
      <c r="A44" s="34" t="n"/>
      <c r="B44" s="26" t="n"/>
      <c r="C44" s="26" t="n"/>
      <c r="D44" s="26" t="n"/>
      <c r="E44" s="26" t="n"/>
      <c r="F44" s="26" t="n"/>
      <c r="G44" s="35" t="n"/>
      <c r="H44" s="26" t="n"/>
      <c r="I44" s="34" t="n"/>
      <c r="J44" s="35">
        <f>IF($G49="","",$G49*0.15)</f>
        <v/>
      </c>
      <c r="K44" s="35" t="n"/>
      <c r="L44" s="26" t="n"/>
      <c r="M44" s="36">
        <f>IF($A49="","",IF(OR($H49="delivered",$H49="invoiced",$H49="paid"),1,0))</f>
        <v/>
      </c>
      <c r="N44" s="35">
        <f>IF($A49="","",IF(AND($M49=1,$J49&lt;&gt;""),$J49-IF($K49="",0,$K49),""))</f>
        <v/>
      </c>
    </row>
    <row r="45" ht="15" customHeight="1" s="27">
      <c r="A45" s="34" t="n"/>
      <c r="B45" s="26" t="n"/>
      <c r="C45" s="26" t="n"/>
      <c r="D45" s="26" t="n"/>
      <c r="E45" s="26" t="n"/>
      <c r="F45" s="26" t="n"/>
      <c r="G45" s="35" t="n"/>
      <c r="H45" s="26" t="n"/>
      <c r="I45" s="34" t="n"/>
      <c r="J45" s="35">
        <f>IF($G50="","",$G50*0.15)</f>
        <v/>
      </c>
      <c r="K45" s="35" t="n"/>
      <c r="L45" s="26" t="n"/>
      <c r="M45" s="36">
        <f>IF($A50="","",IF(OR($H50="delivered",$H50="invoiced",$H50="paid"),1,0))</f>
        <v/>
      </c>
      <c r="N45" s="35">
        <f>IF($A50="","",IF(AND($M50=1,$J50&lt;&gt;""),$J50-IF($K50="",0,$K50),""))</f>
        <v/>
      </c>
    </row>
    <row r="46" ht="15" customHeight="1" s="27">
      <c r="A46" s="34" t="n"/>
      <c r="B46" s="26" t="n"/>
      <c r="C46" s="26" t="n"/>
      <c r="D46" s="26" t="n"/>
      <c r="E46" s="26" t="n"/>
      <c r="F46" s="26" t="n"/>
      <c r="G46" s="35" t="n"/>
      <c r="H46" s="26" t="n"/>
      <c r="I46" s="34" t="n"/>
      <c r="J46" s="35">
        <f>IF($G51="","",$G51*0.15)</f>
        <v/>
      </c>
      <c r="K46" s="35" t="n"/>
      <c r="L46" s="26" t="n"/>
      <c r="M46" s="36">
        <f>IF($A51="","",IF(OR($H51="delivered",$H51="invoiced",$H51="paid"),1,0))</f>
        <v/>
      </c>
      <c r="N46" s="35">
        <f>IF($A51="","",IF(AND($M51=1,$J51&lt;&gt;""),$J51-IF($K51="",0,$K51),""))</f>
        <v/>
      </c>
    </row>
    <row r="47" ht="15" customHeight="1" s="27">
      <c r="A47" s="34" t="n"/>
      <c r="B47" s="26" t="n"/>
      <c r="C47" s="26" t="n"/>
      <c r="D47" s="26" t="n"/>
      <c r="E47" s="26" t="n"/>
      <c r="F47" s="26" t="n"/>
      <c r="G47" s="35" t="n"/>
      <c r="H47" s="26" t="n"/>
      <c r="I47" s="34" t="n"/>
      <c r="J47" s="35">
        <f>IF($G52="","",$G52*0.15)</f>
        <v/>
      </c>
      <c r="K47" s="35" t="n"/>
      <c r="L47" s="26" t="n"/>
      <c r="M47" s="36">
        <f>IF($A52="","",IF(OR($H52="delivered",$H52="invoiced",$H52="paid"),1,0))</f>
        <v/>
      </c>
      <c r="N47" s="35">
        <f>IF($A52="","",IF(AND($M52=1,$J52&lt;&gt;""),$J52-IF($K52="",0,$K52),""))</f>
        <v/>
      </c>
    </row>
    <row r="48" ht="15" customHeight="1" s="27">
      <c r="A48" s="34" t="n"/>
      <c r="B48" s="26" t="n"/>
      <c r="C48" s="26" t="n"/>
      <c r="D48" s="26" t="n"/>
      <c r="E48" s="26" t="n"/>
      <c r="F48" s="26" t="n"/>
      <c r="G48" s="35" t="n"/>
      <c r="H48" s="26" t="n"/>
      <c r="I48" s="34" t="n"/>
      <c r="J48" s="35">
        <f>IF($G53="","",$G53*0.15)</f>
        <v/>
      </c>
      <c r="K48" s="35" t="n"/>
      <c r="L48" s="26" t="n"/>
      <c r="M48" s="36">
        <f>IF($A53="","",IF(OR($H53="delivered",$H53="invoiced",$H53="paid"),1,0))</f>
        <v/>
      </c>
      <c r="N48" s="35">
        <f>IF($A53="","",IF(AND($M53=1,$J53&lt;&gt;""),$J53-IF($K53="",0,$K53),""))</f>
        <v/>
      </c>
    </row>
    <row r="49" ht="15" customHeight="1" s="27">
      <c r="A49" s="34" t="n"/>
      <c r="B49" s="26" t="n"/>
      <c r="C49" s="26" t="n"/>
      <c r="D49" s="26" t="n"/>
      <c r="E49" s="26" t="n"/>
      <c r="F49" s="26" t="n"/>
      <c r="G49" s="35" t="n"/>
      <c r="H49" s="26" t="n"/>
      <c r="I49" s="34" t="n"/>
      <c r="J49" s="35">
        <f>IF($G54="","",$G54*0.15)</f>
        <v/>
      </c>
      <c r="K49" s="35" t="n"/>
      <c r="L49" s="26" t="n"/>
      <c r="M49" s="36">
        <f>IF($A54="","",IF(OR($H54="delivered",$H54="invoiced",$H54="paid"),1,0))</f>
        <v/>
      </c>
      <c r="N49" s="35">
        <f>IF($A54="","",IF(AND($M54=1,$J54&lt;&gt;""),$J54-IF($K54="",0,$K54),""))</f>
        <v/>
      </c>
    </row>
    <row r="50" ht="15" customHeight="1" s="27">
      <c r="A50" s="34" t="n"/>
      <c r="B50" s="26" t="n"/>
      <c r="C50" s="26" t="n"/>
      <c r="D50" s="26" t="n"/>
      <c r="E50" s="26" t="n"/>
      <c r="F50" s="26" t="n"/>
      <c r="G50" s="35" t="n"/>
      <c r="H50" s="26" t="n"/>
      <c r="I50" s="34" t="n"/>
      <c r="J50" s="35">
        <f>IF($G55="","",$G55*0.15)</f>
        <v/>
      </c>
      <c r="K50" s="35" t="n"/>
      <c r="L50" s="26" t="n"/>
      <c r="M50" s="36">
        <f>IF($A55="","",IF(OR($H55="delivered",$H55="invoiced",$H55="paid"),1,0))</f>
        <v/>
      </c>
      <c r="N50" s="35">
        <f>IF($A55="","",IF(AND($M55=1,$J55&lt;&gt;""),$J55-IF($K55="",0,$K55),""))</f>
        <v/>
      </c>
    </row>
    <row r="51" ht="15" customHeight="1" s="27">
      <c r="A51" s="34" t="n"/>
      <c r="B51" s="26" t="n"/>
      <c r="C51" s="26" t="n"/>
      <c r="D51" s="26" t="n"/>
      <c r="E51" s="26" t="n"/>
      <c r="F51" s="26" t="n"/>
      <c r="G51" s="35" t="n"/>
      <c r="H51" s="26" t="n"/>
      <c r="I51" s="34" t="n"/>
      <c r="J51" s="35">
        <f>IF($G56="","",$G56*0.15)</f>
        <v/>
      </c>
      <c r="K51" s="35" t="n"/>
      <c r="L51" s="26" t="n"/>
      <c r="M51" s="36">
        <f>IF($A56="","",IF(OR($H56="delivered",$H56="invoiced",$H56="paid"),1,0))</f>
        <v/>
      </c>
      <c r="N51" s="35">
        <f>IF($A56="","",IF(AND($M56=1,$J56&lt;&gt;""),$J56-IF($K56="",0,$K56),""))</f>
        <v/>
      </c>
    </row>
    <row r="52" ht="15" customHeight="1" s="27">
      <c r="A52" s="34" t="n"/>
      <c r="B52" s="26" t="n"/>
      <c r="C52" s="26" t="n"/>
      <c r="D52" s="26" t="n"/>
      <c r="E52" s="26" t="n"/>
      <c r="F52" s="26" t="n"/>
      <c r="G52" s="35" t="n"/>
      <c r="H52" s="26" t="n"/>
      <c r="I52" s="34" t="n"/>
      <c r="J52" s="35">
        <f>IF($G57="","",$G57*0.15)</f>
        <v/>
      </c>
      <c r="K52" s="35" t="n"/>
      <c r="L52" s="26" t="n"/>
      <c r="M52" s="36">
        <f>IF($A57="","",IF(OR($H57="delivered",$H57="invoiced",$H57="paid"),1,0))</f>
        <v/>
      </c>
      <c r="N52" s="35">
        <f>IF($A57="","",IF(AND($M57=1,$J57&lt;&gt;""),$J57-IF($K57="",0,$K57),""))</f>
        <v/>
      </c>
    </row>
    <row r="53" ht="15" customHeight="1" s="27">
      <c r="A53" s="34" t="n"/>
      <c r="B53" s="26" t="n"/>
      <c r="C53" s="26" t="n"/>
      <c r="D53" s="26" t="n"/>
      <c r="E53" s="26" t="n"/>
      <c r="F53" s="26" t="n"/>
      <c r="G53" s="35" t="n"/>
      <c r="H53" s="26" t="n"/>
      <c r="I53" s="34" t="n"/>
      <c r="J53" s="35">
        <f>IF($G58="","",$G58*0.15)</f>
        <v/>
      </c>
      <c r="K53" s="35" t="n"/>
      <c r="L53" s="26" t="n"/>
      <c r="M53" s="36">
        <f>IF($A58="","",IF(OR($H58="delivered",$H58="invoiced",$H58="paid"),1,0))</f>
        <v/>
      </c>
      <c r="N53" s="35">
        <f>IF($A58="","",IF(AND($M58=1,$J58&lt;&gt;""),$J58-IF($K58="",0,$K58),""))</f>
        <v/>
      </c>
    </row>
    <row r="54" ht="15" customHeight="1" s="27">
      <c r="A54" s="34" t="n"/>
      <c r="B54" s="26" t="n"/>
      <c r="C54" s="26" t="n"/>
      <c r="D54" s="26" t="n"/>
      <c r="E54" s="26" t="n"/>
      <c r="F54" s="26" t="n"/>
      <c r="G54" s="35" t="n"/>
      <c r="H54" s="26" t="n"/>
      <c r="I54" s="34" t="n"/>
      <c r="J54" s="35">
        <f>IF($G59="","",$G59*0.15)</f>
        <v/>
      </c>
      <c r="K54" s="35" t="n"/>
      <c r="L54" s="26" t="n"/>
      <c r="M54" s="36">
        <f>IF($A59="","",IF(OR($H59="delivered",$H59="invoiced",$H59="paid"),1,0))</f>
        <v/>
      </c>
      <c r="N54" s="35">
        <f>IF($A59="","",IF(AND($M59=1,$J59&lt;&gt;""),$J59-IF($K59="",0,$K59),""))</f>
        <v/>
      </c>
    </row>
    <row r="55" ht="15" customHeight="1" s="27">
      <c r="A55" s="34" t="n"/>
      <c r="B55" s="26" t="n"/>
      <c r="C55" s="26" t="n"/>
      <c r="D55" s="26" t="n"/>
      <c r="E55" s="26" t="n"/>
      <c r="F55" s="26" t="n"/>
      <c r="G55" s="35" t="n"/>
      <c r="H55" s="26" t="n"/>
      <c r="I55" s="34" t="n"/>
      <c r="J55" s="35">
        <f>IF($G60="","",$G60*0.15)</f>
        <v/>
      </c>
      <c r="K55" s="35" t="n"/>
      <c r="L55" s="26" t="n"/>
      <c r="M55" s="36">
        <f>IF($A60="","",IF(OR($H60="delivered",$H60="invoiced",$H60="paid"),1,0))</f>
        <v/>
      </c>
      <c r="N55" s="35">
        <f>IF($A60="","",IF(AND($M60=1,$J60&lt;&gt;""),$J60-IF($K60="",0,$K60),""))</f>
        <v/>
      </c>
    </row>
    <row r="56" ht="15" customHeight="1" s="27">
      <c r="A56" s="34" t="n"/>
      <c r="B56" s="26" t="n"/>
      <c r="C56" s="26" t="n"/>
      <c r="D56" s="26" t="n"/>
      <c r="E56" s="26" t="n"/>
      <c r="F56" s="26" t="n"/>
      <c r="G56" s="35" t="n"/>
      <c r="H56" s="26" t="n"/>
      <c r="I56" s="34" t="n"/>
      <c r="J56" s="35">
        <f>IF($G61="","",$G61*0.15)</f>
        <v/>
      </c>
      <c r="K56" s="35" t="n"/>
      <c r="L56" s="26" t="n"/>
      <c r="M56" s="36">
        <f>IF($A61="","",IF(OR($H61="delivered",$H61="invoiced",$H61="paid"),1,0))</f>
        <v/>
      </c>
      <c r="N56" s="35">
        <f>IF($A61="","",IF(AND($M61=1,$J61&lt;&gt;""),$J61-IF($K61="",0,$K61),""))</f>
        <v/>
      </c>
    </row>
    <row r="57" ht="15" customHeight="1" s="27">
      <c r="A57" s="34" t="n"/>
      <c r="B57" s="26" t="n"/>
      <c r="C57" s="26" t="n"/>
      <c r="D57" s="26" t="n"/>
      <c r="E57" s="26" t="n"/>
      <c r="F57" s="26" t="n"/>
      <c r="G57" s="35" t="n"/>
      <c r="H57" s="26" t="n"/>
      <c r="I57" s="34" t="n"/>
      <c r="J57" s="35">
        <f>IF($G62="","",$G62*0.15)</f>
        <v/>
      </c>
      <c r="K57" s="35" t="n"/>
      <c r="L57" s="26" t="n"/>
      <c r="M57" s="36">
        <f>IF($A62="","",IF(OR($H62="delivered",$H62="invoiced",$H62="paid"),1,0))</f>
        <v/>
      </c>
      <c r="N57" s="35">
        <f>IF($A62="","",IF(AND($M62=1,$J62&lt;&gt;""),$J62-IF($K62="",0,$K62),""))</f>
        <v/>
      </c>
    </row>
    <row r="58" ht="15" customHeight="1" s="27">
      <c r="A58" s="34" t="n"/>
      <c r="B58" s="26" t="n"/>
      <c r="C58" s="26" t="n"/>
      <c r="D58" s="26" t="n"/>
      <c r="E58" s="26" t="n"/>
      <c r="F58" s="26" t="n"/>
      <c r="G58" s="35" t="n"/>
      <c r="H58" s="26" t="n"/>
      <c r="I58" s="34" t="n"/>
      <c r="J58" s="35">
        <f>IF($G63="","",$G63*0.15)</f>
        <v/>
      </c>
      <c r="K58" s="35" t="n"/>
      <c r="L58" s="26" t="n"/>
      <c r="M58" s="36">
        <f>IF($A63="","",IF(OR($H63="delivered",$H63="invoiced",$H63="paid"),1,0))</f>
        <v/>
      </c>
      <c r="N58" s="35">
        <f>IF($A63="","",IF(AND($M63=1,$J63&lt;&gt;""),$J63-IF($K63="",0,$K63),""))</f>
        <v/>
      </c>
    </row>
    <row r="59" ht="15" customHeight="1" s="27">
      <c r="A59" s="34" t="n"/>
      <c r="B59" s="26" t="n"/>
      <c r="C59" s="26" t="n"/>
      <c r="D59" s="26" t="n"/>
      <c r="E59" s="26" t="n"/>
      <c r="F59" s="26" t="n"/>
      <c r="G59" s="35" t="n"/>
      <c r="H59" s="26" t="n"/>
      <c r="I59" s="34" t="n"/>
      <c r="J59" s="35">
        <f>IF($G64="","",$G64*0.15)</f>
        <v/>
      </c>
      <c r="K59" s="35" t="n"/>
      <c r="L59" s="26" t="n"/>
      <c r="M59" s="36">
        <f>IF($A64="","",IF(OR($H64="delivered",$H64="invoiced",$H64="paid"),1,0))</f>
        <v/>
      </c>
      <c r="N59" s="35">
        <f>IF($A64="","",IF(AND($M64=1,$J64&lt;&gt;""),$J64-IF($K64="",0,$K64),""))</f>
        <v/>
      </c>
    </row>
    <row r="60" ht="15" customHeight="1" s="27">
      <c r="A60" s="34" t="n"/>
      <c r="B60" s="26" t="n"/>
      <c r="C60" s="26" t="n"/>
      <c r="D60" s="26" t="n"/>
      <c r="E60" s="26" t="n"/>
      <c r="F60" s="26" t="n"/>
      <c r="G60" s="35" t="n"/>
      <c r="H60" s="26" t="n"/>
      <c r="I60" s="34" t="n"/>
      <c r="J60" s="35">
        <f>IF($G65="","",$G65*0.15)</f>
        <v/>
      </c>
      <c r="K60" s="35" t="n"/>
      <c r="L60" s="26" t="n"/>
      <c r="M60" s="36">
        <f>IF($A65="","",IF(OR($H65="delivered",$H65="invoiced",$H65="paid"),1,0))</f>
        <v/>
      </c>
      <c r="N60" s="35">
        <f>IF($A65="","",IF(AND($M65=1,$J65&lt;&gt;""),$J65-IF($K65="",0,$K65),""))</f>
        <v/>
      </c>
    </row>
    <row r="61" ht="15" customHeight="1" s="27">
      <c r="A61" s="34" t="n"/>
      <c r="B61" s="26" t="n"/>
      <c r="C61" s="26" t="n"/>
      <c r="D61" s="26" t="n"/>
      <c r="E61" s="26" t="n"/>
      <c r="F61" s="26" t="n"/>
      <c r="G61" s="35" t="n"/>
      <c r="H61" s="26" t="n"/>
      <c r="I61" s="34" t="n"/>
      <c r="J61" s="35">
        <f>IF($G66="","",$G66*0.15)</f>
        <v/>
      </c>
      <c r="K61" s="35" t="n"/>
      <c r="L61" s="26" t="n"/>
      <c r="M61" s="36">
        <f>IF($A66="","",IF(OR($H66="delivered",$H66="invoiced",$H66="paid"),1,0))</f>
        <v/>
      </c>
      <c r="N61" s="35">
        <f>IF($A66="","",IF(AND($M66=1,$J66&lt;&gt;""),$J66-IF($K66="",0,$K66),""))</f>
        <v/>
      </c>
    </row>
    <row r="62" ht="15" customHeight="1" s="27">
      <c r="A62" s="34" t="n"/>
      <c r="B62" s="26" t="n"/>
      <c r="C62" s="26" t="n"/>
      <c r="D62" s="26" t="n"/>
      <c r="E62" s="26" t="n"/>
      <c r="F62" s="26" t="n"/>
      <c r="G62" s="35" t="n"/>
      <c r="H62" s="26" t="n"/>
      <c r="I62" s="34" t="n"/>
      <c r="J62" s="35">
        <f>IF($G67="","",$G67*0.15)</f>
        <v/>
      </c>
      <c r="K62" s="35" t="n"/>
      <c r="L62" s="26" t="n"/>
      <c r="M62" s="36">
        <f>IF($A67="","",IF(OR($H67="delivered",$H67="invoiced",$H67="paid"),1,0))</f>
        <v/>
      </c>
      <c r="N62" s="35">
        <f>IF($A67="","",IF(AND($M67=1,$J67&lt;&gt;""),$J67-IF($K67="",0,$K67),""))</f>
        <v/>
      </c>
    </row>
    <row r="63" ht="15" customHeight="1" s="27">
      <c r="A63" s="34" t="n"/>
      <c r="B63" s="26" t="n"/>
      <c r="C63" s="26" t="n"/>
      <c r="D63" s="26" t="n"/>
      <c r="E63" s="26" t="n"/>
      <c r="F63" s="26" t="n"/>
      <c r="G63" s="35" t="n"/>
      <c r="H63" s="26" t="n"/>
      <c r="I63" s="34" t="n"/>
      <c r="J63" s="35">
        <f>IF($G68="","",$G68*0.15)</f>
        <v/>
      </c>
      <c r="K63" s="35" t="n"/>
      <c r="L63" s="26" t="n"/>
      <c r="M63" s="36">
        <f>IF($A68="","",IF(OR($H68="delivered",$H68="invoiced",$H68="paid"),1,0))</f>
        <v/>
      </c>
      <c r="N63" s="35">
        <f>IF($A68="","",IF(AND($M68=1,$J68&lt;&gt;""),$J68-IF($K68="",0,$K68),""))</f>
        <v/>
      </c>
    </row>
    <row r="64" ht="15" customHeight="1" s="27">
      <c r="A64" s="34" t="n"/>
      <c r="B64" s="26" t="n"/>
      <c r="C64" s="26" t="n"/>
      <c r="D64" s="26" t="n"/>
      <c r="E64" s="26" t="n"/>
      <c r="F64" s="26" t="n"/>
      <c r="G64" s="35" t="n"/>
      <c r="H64" s="26" t="n"/>
      <c r="I64" s="34" t="n"/>
      <c r="J64" s="35">
        <f>IF($G69="","",$G69*0.15)</f>
        <v/>
      </c>
      <c r="K64" s="35" t="n"/>
      <c r="L64" s="26" t="n"/>
      <c r="M64" s="36">
        <f>IF($A69="","",IF(OR($H69="delivered",$H69="invoiced",$H69="paid"),1,0))</f>
        <v/>
      </c>
      <c r="N64" s="35">
        <f>IF($A69="","",IF(AND($M69=1,$J69&lt;&gt;""),$J69-IF($K69="",0,$K69),""))</f>
        <v/>
      </c>
    </row>
    <row r="65" ht="15" customHeight="1" s="27">
      <c r="A65" s="34" t="n"/>
      <c r="B65" s="26" t="n"/>
      <c r="C65" s="26" t="n"/>
      <c r="D65" s="26" t="n"/>
      <c r="E65" s="26" t="n"/>
      <c r="F65" s="26" t="n"/>
      <c r="G65" s="35" t="n"/>
      <c r="H65" s="26" t="n"/>
      <c r="I65" s="34" t="n"/>
      <c r="J65" s="35">
        <f>IF($G70="","",$G70*0.15)</f>
        <v/>
      </c>
      <c r="K65" s="35" t="n"/>
      <c r="L65" s="26" t="n"/>
      <c r="M65" s="36">
        <f>IF($A70="","",IF(OR($H70="delivered",$H70="invoiced",$H70="paid"),1,0))</f>
        <v/>
      </c>
      <c r="N65" s="35">
        <f>IF($A70="","",IF(AND($M70=1,$J70&lt;&gt;""),$J70-IF($K70="",0,$K70),""))</f>
        <v/>
      </c>
    </row>
    <row r="66" ht="15" customHeight="1" s="27">
      <c r="A66" s="34" t="n"/>
      <c r="B66" s="26" t="n"/>
      <c r="C66" s="26" t="n"/>
      <c r="D66" s="26" t="n"/>
      <c r="E66" s="26" t="n"/>
      <c r="F66" s="26" t="n"/>
      <c r="G66" s="35" t="n"/>
      <c r="H66" s="26" t="n"/>
      <c r="I66" s="34" t="n"/>
      <c r="J66" s="35">
        <f>IF($G71="","",$G71*0.15)</f>
        <v/>
      </c>
      <c r="K66" s="35" t="n"/>
      <c r="L66" s="26" t="n"/>
      <c r="M66" s="36">
        <f>IF($A71="","",IF(OR($H71="delivered",$H71="invoiced",$H71="paid"),1,0))</f>
        <v/>
      </c>
      <c r="N66" s="35">
        <f>IF($A71="","",IF(AND($M71=1,$J71&lt;&gt;""),$J71-IF($K71="",0,$K71),""))</f>
        <v/>
      </c>
    </row>
    <row r="67" ht="15" customHeight="1" s="27">
      <c r="A67" s="34" t="n"/>
      <c r="B67" s="26" t="n"/>
      <c r="C67" s="26" t="n"/>
      <c r="D67" s="26" t="n"/>
      <c r="E67" s="26" t="n"/>
      <c r="F67" s="26" t="n"/>
      <c r="G67" s="35" t="n"/>
      <c r="H67" s="26" t="n"/>
      <c r="I67" s="34" t="n"/>
      <c r="J67" s="35">
        <f>IF($G72="","",$G72*0.15)</f>
        <v/>
      </c>
      <c r="K67" s="35" t="n"/>
      <c r="L67" s="26" t="n"/>
      <c r="M67" s="36">
        <f>IF($A72="","",IF(OR($H72="delivered",$H72="invoiced",$H72="paid"),1,0))</f>
        <v/>
      </c>
      <c r="N67" s="35">
        <f>IF($A72="","",IF(AND($M72=1,$J72&lt;&gt;""),$J72-IF($K72="",0,$K72),""))</f>
        <v/>
      </c>
    </row>
    <row r="68" ht="15" customHeight="1" s="27">
      <c r="A68" s="34" t="n"/>
      <c r="B68" s="26" t="n"/>
      <c r="C68" s="26" t="n"/>
      <c r="D68" s="26" t="n"/>
      <c r="E68" s="26" t="n"/>
      <c r="F68" s="26" t="n"/>
      <c r="G68" s="35" t="n"/>
      <c r="H68" s="26" t="n"/>
      <c r="I68" s="34" t="n"/>
      <c r="J68" s="35">
        <f>IF($G73="","",$G73*0.15)</f>
        <v/>
      </c>
      <c r="K68" s="35" t="n"/>
      <c r="L68" s="26" t="n"/>
      <c r="M68" s="36">
        <f>IF($A73="","",IF(OR($H73="delivered",$H73="invoiced",$H73="paid"),1,0))</f>
        <v/>
      </c>
      <c r="N68" s="35">
        <f>IF($A73="","",IF(AND($M73=1,$J73&lt;&gt;""),$J73-IF($K73="",0,$K73),""))</f>
        <v/>
      </c>
    </row>
    <row r="69" ht="15" customHeight="1" s="27">
      <c r="A69" s="34" t="n"/>
      <c r="B69" s="26" t="n"/>
      <c r="C69" s="26" t="n"/>
      <c r="D69" s="26" t="n"/>
      <c r="E69" s="26" t="n"/>
      <c r="F69" s="26" t="n"/>
      <c r="G69" s="35" t="n"/>
      <c r="H69" s="26" t="n"/>
      <c r="I69" s="34" t="n"/>
      <c r="J69" s="35">
        <f>IF($G74="","",$G74*0.15)</f>
        <v/>
      </c>
      <c r="K69" s="35" t="n"/>
      <c r="L69" s="26" t="n"/>
      <c r="M69" s="36">
        <f>IF($A74="","",IF(OR($H74="delivered",$H74="invoiced",$H74="paid"),1,0))</f>
        <v/>
      </c>
      <c r="N69" s="35">
        <f>IF($A74="","",IF(AND($M74=1,$J74&lt;&gt;""),$J74-IF($K74="",0,$K74),""))</f>
        <v/>
      </c>
    </row>
    <row r="70" ht="15" customHeight="1" s="27">
      <c r="A70" s="34" t="n"/>
      <c r="B70" s="26" t="n"/>
      <c r="C70" s="26" t="n"/>
      <c r="D70" s="26" t="n"/>
      <c r="E70" s="26" t="n"/>
      <c r="F70" s="26" t="n"/>
      <c r="G70" s="35" t="n"/>
      <c r="H70" s="26" t="n"/>
      <c r="I70" s="34" t="n"/>
      <c r="J70" s="35">
        <f>IF($G75="","",$G75*0.15)</f>
        <v/>
      </c>
      <c r="K70" s="35" t="n"/>
      <c r="L70" s="26" t="n"/>
      <c r="M70" s="36">
        <f>IF($A75="","",IF(OR($H75="delivered",$H75="invoiced",$H75="paid"),1,0))</f>
        <v/>
      </c>
      <c r="N70" s="35">
        <f>IF($A75="","",IF(AND($M75=1,$J75&lt;&gt;""),$J75-IF($K75="",0,$K75),""))</f>
        <v/>
      </c>
    </row>
    <row r="71" ht="15" customHeight="1" s="27">
      <c r="A71" s="34" t="n"/>
      <c r="B71" s="26" t="n"/>
      <c r="C71" s="26" t="n"/>
      <c r="D71" s="26" t="n"/>
      <c r="E71" s="26" t="n"/>
      <c r="F71" s="26" t="n"/>
      <c r="G71" s="35" t="n"/>
      <c r="H71" s="26" t="n"/>
      <c r="I71" s="34" t="n"/>
      <c r="J71" s="35">
        <f>IF($G76="","",$G76*0.15)</f>
        <v/>
      </c>
      <c r="K71" s="35" t="n"/>
      <c r="L71" s="26" t="n"/>
      <c r="M71" s="36">
        <f>IF($A76="","",IF(OR($H76="delivered",$H76="invoiced",$H76="paid"),1,0))</f>
        <v/>
      </c>
      <c r="N71" s="35">
        <f>IF($A76="","",IF(AND($M76=1,$J76&lt;&gt;""),$J76-IF($K76="",0,$K76),""))</f>
        <v/>
      </c>
    </row>
    <row r="72" ht="15" customHeight="1" s="27">
      <c r="A72" s="34" t="n"/>
      <c r="B72" s="26" t="n"/>
      <c r="C72" s="26" t="n"/>
      <c r="D72" s="26" t="n"/>
      <c r="E72" s="26" t="n"/>
      <c r="F72" s="26" t="n"/>
      <c r="G72" s="35" t="n"/>
      <c r="H72" s="26" t="n"/>
      <c r="I72" s="34" t="n"/>
      <c r="J72" s="35">
        <f>IF($G77="","",$G77*0.15)</f>
        <v/>
      </c>
      <c r="K72" s="35" t="n"/>
      <c r="L72" s="26" t="n"/>
      <c r="M72" s="36">
        <f>IF($A77="","",IF(OR($H77="delivered",$H77="invoiced",$H77="paid"),1,0))</f>
        <v/>
      </c>
      <c r="N72" s="35">
        <f>IF($A77="","",IF(AND($M77=1,$J77&lt;&gt;""),$J77-IF($K77="",0,$K77),""))</f>
        <v/>
      </c>
    </row>
    <row r="73" ht="15" customHeight="1" s="27">
      <c r="A73" s="34" t="n"/>
      <c r="B73" s="26" t="n"/>
      <c r="C73" s="26" t="n"/>
      <c r="D73" s="26" t="n"/>
      <c r="E73" s="26" t="n"/>
      <c r="F73" s="26" t="n"/>
      <c r="G73" s="35" t="n"/>
      <c r="H73" s="26" t="n"/>
      <c r="I73" s="34" t="n"/>
      <c r="J73" s="35">
        <f>IF($G78="","",$G78*0.15)</f>
        <v/>
      </c>
      <c r="K73" s="35" t="n"/>
      <c r="L73" s="26" t="n"/>
      <c r="M73" s="36">
        <f>IF($A78="","",IF(OR($H78="delivered",$H78="invoiced",$H78="paid"),1,0))</f>
        <v/>
      </c>
      <c r="N73" s="35">
        <f>IF($A78="","",IF(AND($M78=1,$J78&lt;&gt;""),$J78-IF($K78="",0,$K78),""))</f>
        <v/>
      </c>
    </row>
    <row r="74" ht="15" customHeight="1" s="27">
      <c r="A74" s="34" t="n"/>
      <c r="B74" s="26" t="n"/>
      <c r="C74" s="26" t="n"/>
      <c r="D74" s="26" t="n"/>
      <c r="E74" s="26" t="n"/>
      <c r="F74" s="26" t="n"/>
      <c r="G74" s="35" t="n"/>
      <c r="H74" s="26" t="n"/>
      <c r="I74" s="34" t="n"/>
      <c r="J74" s="35">
        <f>IF($G79="","",$G79*0.15)</f>
        <v/>
      </c>
      <c r="K74" s="35" t="n"/>
      <c r="L74" s="26" t="n"/>
      <c r="M74" s="36">
        <f>IF($A79="","",IF(OR($H79="delivered",$H79="invoiced",$H79="paid"),1,0))</f>
        <v/>
      </c>
      <c r="N74" s="35">
        <f>IF($A79="","",IF(AND($M79=1,$J79&lt;&gt;""),$J79-IF($K79="",0,$K79),""))</f>
        <v/>
      </c>
    </row>
    <row r="75" ht="15" customHeight="1" s="27">
      <c r="A75" s="34" t="n"/>
      <c r="B75" s="26" t="n"/>
      <c r="C75" s="26" t="n"/>
      <c r="D75" s="26" t="n"/>
      <c r="E75" s="26" t="n"/>
      <c r="F75" s="26" t="n"/>
      <c r="G75" s="35" t="n"/>
      <c r="H75" s="26" t="n"/>
      <c r="I75" s="34" t="n"/>
      <c r="J75" s="35">
        <f>IF($G80="","",$G80*0.15)</f>
        <v/>
      </c>
      <c r="K75" s="35" t="n"/>
      <c r="L75" s="26" t="n"/>
      <c r="M75" s="36">
        <f>IF($A80="","",IF(OR($H80="delivered",$H80="invoiced",$H80="paid"),1,0))</f>
        <v/>
      </c>
      <c r="N75" s="35">
        <f>IF($A80="","",IF(AND($M80=1,$J80&lt;&gt;""),$J80-IF($K80="",0,$K80),""))</f>
        <v/>
      </c>
    </row>
    <row r="76" ht="15" customHeight="1" s="27">
      <c r="A76" s="34" t="n"/>
      <c r="B76" s="26" t="n"/>
      <c r="C76" s="26" t="n"/>
      <c r="D76" s="26" t="n"/>
      <c r="E76" s="26" t="n"/>
      <c r="F76" s="26" t="n"/>
      <c r="G76" s="35" t="n"/>
      <c r="H76" s="26" t="n"/>
      <c r="I76" s="34" t="n"/>
      <c r="J76" s="35">
        <f>IF($G81="","",$G81*0.15)</f>
        <v/>
      </c>
      <c r="K76" s="35" t="n"/>
      <c r="L76" s="26" t="n"/>
      <c r="M76" s="36">
        <f>IF($A81="","",IF(OR($H81="delivered",$H81="invoiced",$H81="paid"),1,0))</f>
        <v/>
      </c>
      <c r="N76" s="35">
        <f>IF($A81="","",IF(AND($M81=1,$J81&lt;&gt;""),$J81-IF($K81="",0,$K81),""))</f>
        <v/>
      </c>
    </row>
    <row r="77" ht="15" customHeight="1" s="27">
      <c r="A77" s="34" t="n"/>
      <c r="B77" s="26" t="n"/>
      <c r="C77" s="26" t="n"/>
      <c r="D77" s="26" t="n"/>
      <c r="E77" s="26" t="n"/>
      <c r="F77" s="26" t="n"/>
      <c r="G77" s="35" t="n"/>
      <c r="H77" s="26" t="n"/>
      <c r="I77" s="34" t="n"/>
      <c r="J77" s="35">
        <f>IF($G82="","",$G82*0.15)</f>
        <v/>
      </c>
      <c r="K77" s="35" t="n"/>
      <c r="L77" s="26" t="n"/>
      <c r="M77" s="36">
        <f>IF($A82="","",IF(OR($H82="delivered",$H82="invoiced",$H82="paid"),1,0))</f>
        <v/>
      </c>
      <c r="N77" s="35">
        <f>IF($A82="","",IF(AND($M82=1,$J82&lt;&gt;""),$J82-IF($K82="",0,$K82),""))</f>
        <v/>
      </c>
    </row>
    <row r="78" ht="15" customHeight="1" s="27">
      <c r="A78" s="34" t="n"/>
      <c r="B78" s="26" t="n"/>
      <c r="C78" s="26" t="n"/>
      <c r="D78" s="26" t="n"/>
      <c r="E78" s="26" t="n"/>
      <c r="F78" s="26" t="n"/>
      <c r="G78" s="35" t="n"/>
      <c r="H78" s="26" t="n"/>
      <c r="I78" s="34" t="n"/>
      <c r="J78" s="35">
        <f>IF($G83="","",$G83*0.15)</f>
        <v/>
      </c>
      <c r="K78" s="35" t="n"/>
      <c r="L78" s="26" t="n"/>
      <c r="M78" s="36">
        <f>IF($A83="","",IF(OR($H83="delivered",$H83="invoiced",$H83="paid"),1,0))</f>
        <v/>
      </c>
      <c r="N78" s="35">
        <f>IF($A83="","",IF(AND($M83=1,$J83&lt;&gt;""),$J83-IF($K83="",0,$K83),""))</f>
        <v/>
      </c>
    </row>
    <row r="79" ht="15" customHeight="1" s="27">
      <c r="A79" s="34" t="n"/>
      <c r="B79" s="26" t="n"/>
      <c r="C79" s="26" t="n"/>
      <c r="D79" s="26" t="n"/>
      <c r="E79" s="26" t="n"/>
      <c r="F79" s="26" t="n"/>
      <c r="G79" s="35" t="n"/>
      <c r="H79" s="26" t="n"/>
      <c r="I79" s="34" t="n"/>
      <c r="J79" s="35">
        <f>IF($G84="","",$G84*0.15)</f>
        <v/>
      </c>
      <c r="K79" s="35" t="n"/>
      <c r="L79" s="26" t="n"/>
      <c r="M79" s="36">
        <f>IF($A84="","",IF(OR($H84="delivered",$H84="invoiced",$H84="paid"),1,0))</f>
        <v/>
      </c>
      <c r="N79" s="35">
        <f>IF($A84="","",IF(AND($M84=1,$J84&lt;&gt;""),$J84-IF($K84="",0,$K84),""))</f>
        <v/>
      </c>
    </row>
    <row r="80" ht="15" customHeight="1" s="27">
      <c r="A80" s="34" t="n"/>
      <c r="B80" s="26" t="n"/>
      <c r="C80" s="26" t="n"/>
      <c r="D80" s="26" t="n"/>
      <c r="E80" s="26" t="n"/>
      <c r="F80" s="26" t="n"/>
      <c r="G80" s="35" t="n"/>
      <c r="H80" s="26" t="n"/>
      <c r="I80" s="34" t="n"/>
      <c r="J80" s="35">
        <f>IF($G85="","",$G85*0.15)</f>
        <v/>
      </c>
      <c r="K80" s="35" t="n"/>
      <c r="L80" s="26" t="n"/>
      <c r="M80" s="36">
        <f>IF($A85="","",IF(OR($H85="delivered",$H85="invoiced",$H85="paid"),1,0))</f>
        <v/>
      </c>
      <c r="N80" s="35">
        <f>IF($A85="","",IF(AND($M85=1,$J85&lt;&gt;""),$J85-IF($K85="",0,$K85),""))</f>
        <v/>
      </c>
    </row>
    <row r="81" ht="15" customHeight="1" s="27">
      <c r="A81" s="34" t="n"/>
      <c r="B81" s="26" t="n"/>
      <c r="C81" s="26" t="n"/>
      <c r="D81" s="26" t="n"/>
      <c r="E81" s="26" t="n"/>
      <c r="F81" s="26" t="n"/>
      <c r="G81" s="35" t="n"/>
      <c r="H81" s="26" t="n"/>
      <c r="I81" s="34" t="n"/>
      <c r="J81" s="35">
        <f>IF($G86="","",$G86*0.15)</f>
        <v/>
      </c>
      <c r="K81" s="35" t="n"/>
      <c r="L81" s="26" t="n"/>
      <c r="M81" s="36">
        <f>IF($A86="","",IF(OR($H86="delivered",$H86="invoiced",$H86="paid"),1,0))</f>
        <v/>
      </c>
      <c r="N81" s="35">
        <f>IF($A86="","",IF(AND($M86=1,$J86&lt;&gt;""),$J86-IF($K86="",0,$K86),""))</f>
        <v/>
      </c>
    </row>
    <row r="82" ht="15" customHeight="1" s="27">
      <c r="A82" s="34" t="n"/>
      <c r="B82" s="26" t="n"/>
      <c r="C82" s="26" t="n"/>
      <c r="D82" s="26" t="n"/>
      <c r="E82" s="26" t="n"/>
      <c r="F82" s="26" t="n"/>
      <c r="G82" s="35" t="n"/>
      <c r="H82" s="26" t="n"/>
      <c r="I82" s="34" t="n"/>
      <c r="J82" s="35">
        <f>IF($G87="","",$G87*0.15)</f>
        <v/>
      </c>
      <c r="K82" s="35" t="n"/>
      <c r="L82" s="26" t="n"/>
      <c r="M82" s="36">
        <f>IF($A87="","",IF(OR($H87="delivered",$H87="invoiced",$H87="paid"),1,0))</f>
        <v/>
      </c>
      <c r="N82" s="35">
        <f>IF($A87="","",IF(AND($M87=1,$J87&lt;&gt;""),$J87-IF($K87="",0,$K87),""))</f>
        <v/>
      </c>
    </row>
    <row r="83" ht="15" customHeight="1" s="27">
      <c r="A83" s="34" t="n"/>
      <c r="B83" s="26" t="n"/>
      <c r="C83" s="26" t="n"/>
      <c r="D83" s="26" t="n"/>
      <c r="E83" s="26" t="n"/>
      <c r="F83" s="26" t="n"/>
      <c r="G83" s="35" t="n"/>
      <c r="H83" s="26" t="n"/>
      <c r="I83" s="34" t="n"/>
      <c r="J83" s="35">
        <f>IF($G88="","",$G88*0.15)</f>
        <v/>
      </c>
      <c r="K83" s="35" t="n"/>
      <c r="L83" s="26" t="n"/>
      <c r="M83" s="36">
        <f>IF($A88="","",IF(OR($H88="delivered",$H88="invoiced",$H88="paid"),1,0))</f>
        <v/>
      </c>
      <c r="N83" s="35">
        <f>IF($A88="","",IF(AND($M88=1,$J88&lt;&gt;""),$J88-IF($K88="",0,$K88),""))</f>
        <v/>
      </c>
    </row>
    <row r="84" ht="15" customHeight="1" s="27">
      <c r="A84" s="34" t="n"/>
      <c r="B84" s="26" t="n"/>
      <c r="C84" s="26" t="n"/>
      <c r="D84" s="26" t="n"/>
      <c r="E84" s="26" t="n"/>
      <c r="F84" s="26" t="n"/>
      <c r="G84" s="35" t="n"/>
      <c r="H84" s="26" t="n"/>
      <c r="I84" s="34" t="n"/>
      <c r="J84" s="35">
        <f>IF($G89="","",$G89*0.15)</f>
        <v/>
      </c>
      <c r="K84" s="35" t="n"/>
      <c r="L84" s="26" t="n"/>
      <c r="M84" s="36">
        <f>IF($A89="","",IF(OR($H89="delivered",$H89="invoiced",$H89="paid"),1,0))</f>
        <v/>
      </c>
      <c r="N84" s="35">
        <f>IF($A89="","",IF(AND($M89=1,$J89&lt;&gt;""),$J89-IF($K89="",0,$K89),""))</f>
        <v/>
      </c>
    </row>
    <row r="85" ht="15" customHeight="1" s="27">
      <c r="A85" s="34" t="n"/>
      <c r="B85" s="26" t="n"/>
      <c r="C85" s="26" t="n"/>
      <c r="D85" s="26" t="n"/>
      <c r="E85" s="26" t="n"/>
      <c r="F85" s="26" t="n"/>
      <c r="G85" s="35" t="n"/>
      <c r="H85" s="26" t="n"/>
      <c r="I85" s="34" t="n"/>
      <c r="J85" s="35">
        <f>IF($G90="","",$G90*0.15)</f>
        <v/>
      </c>
      <c r="K85" s="35" t="n"/>
      <c r="L85" s="26" t="n"/>
      <c r="M85" s="36">
        <f>IF($A90="","",IF(OR($H90="delivered",$H90="invoiced",$H90="paid"),1,0))</f>
        <v/>
      </c>
      <c r="N85" s="35">
        <f>IF($A90="","",IF(AND($M90=1,$J90&lt;&gt;""),$J90-IF($K90="",0,$K90),""))</f>
        <v/>
      </c>
    </row>
    <row r="86" ht="15" customHeight="1" s="27">
      <c r="A86" s="34" t="n"/>
      <c r="B86" s="26" t="n"/>
      <c r="C86" s="26" t="n"/>
      <c r="D86" s="26" t="n"/>
      <c r="E86" s="26" t="n"/>
      <c r="F86" s="26" t="n"/>
      <c r="G86" s="35" t="n"/>
      <c r="H86" s="26" t="n"/>
      <c r="I86" s="34" t="n"/>
      <c r="J86" s="35">
        <f>IF($G91="","",$G91*0.15)</f>
        <v/>
      </c>
      <c r="K86" s="35" t="n"/>
      <c r="L86" s="26" t="n"/>
      <c r="M86" s="36">
        <f>IF($A91="","",IF(OR($H91="delivered",$H91="invoiced",$H91="paid"),1,0))</f>
        <v/>
      </c>
      <c r="N86" s="35">
        <f>IF($A91="","",IF(AND($M91=1,$J91&lt;&gt;""),$J91-IF($K91="",0,$K91),""))</f>
        <v/>
      </c>
    </row>
    <row r="87" ht="15" customHeight="1" s="27">
      <c r="A87" s="34" t="n"/>
      <c r="B87" s="26" t="n"/>
      <c r="C87" s="26" t="n"/>
      <c r="D87" s="26" t="n"/>
      <c r="E87" s="26" t="n"/>
      <c r="F87" s="26" t="n"/>
      <c r="G87" s="35" t="n"/>
      <c r="H87" s="26" t="n"/>
      <c r="I87" s="34" t="n"/>
      <c r="J87" s="35">
        <f>IF($G92="","",$G92*0.15)</f>
        <v/>
      </c>
      <c r="K87" s="35" t="n"/>
      <c r="L87" s="26" t="n"/>
      <c r="M87" s="36">
        <f>IF($A92="","",IF(OR($H92="delivered",$H92="invoiced",$H92="paid"),1,0))</f>
        <v/>
      </c>
      <c r="N87" s="35">
        <f>IF($A92="","",IF(AND($M92=1,$J92&lt;&gt;""),$J92-IF($K92="",0,$K92),""))</f>
        <v/>
      </c>
    </row>
    <row r="88" ht="15" customHeight="1" s="27">
      <c r="A88" s="34" t="n"/>
      <c r="B88" s="26" t="n"/>
      <c r="C88" s="26" t="n"/>
      <c r="D88" s="26" t="n"/>
      <c r="E88" s="26" t="n"/>
      <c r="F88" s="26" t="n"/>
      <c r="G88" s="35" t="n"/>
      <c r="H88" s="26" t="n"/>
      <c r="I88" s="34" t="n"/>
      <c r="J88" s="35">
        <f>IF($G93="","",$G93*0.15)</f>
        <v/>
      </c>
      <c r="K88" s="35" t="n"/>
      <c r="L88" s="26" t="n"/>
      <c r="M88" s="36">
        <f>IF($A93="","",IF(OR($H93="delivered",$H93="invoiced",$H93="paid"),1,0))</f>
        <v/>
      </c>
      <c r="N88" s="35">
        <f>IF($A93="","",IF(AND($M93=1,$J93&lt;&gt;""),$J93-IF($K93="",0,$K93),""))</f>
        <v/>
      </c>
    </row>
    <row r="89" ht="15" customHeight="1" s="27">
      <c r="A89" s="34" t="n"/>
      <c r="B89" s="26" t="n"/>
      <c r="C89" s="26" t="n"/>
      <c r="D89" s="26" t="n"/>
      <c r="E89" s="26" t="n"/>
      <c r="F89" s="26" t="n"/>
      <c r="G89" s="35" t="n"/>
      <c r="H89" s="26" t="n"/>
      <c r="I89" s="34" t="n"/>
      <c r="J89" s="35">
        <f>IF($G94="","",$G94*0.15)</f>
        <v/>
      </c>
      <c r="K89" s="35" t="n"/>
      <c r="L89" s="26" t="n"/>
      <c r="M89" s="36">
        <f>IF($A94="","",IF(OR($H94="delivered",$H94="invoiced",$H94="paid"),1,0))</f>
        <v/>
      </c>
      <c r="N89" s="35">
        <f>IF($A94="","",IF(AND($M94=1,$J94&lt;&gt;""),$J94-IF($K94="",0,$K94),""))</f>
        <v/>
      </c>
    </row>
    <row r="90" ht="15" customHeight="1" s="27">
      <c r="A90" s="34" t="n"/>
      <c r="B90" s="26" t="n"/>
      <c r="C90" s="26" t="n"/>
      <c r="D90" s="26" t="n"/>
      <c r="E90" s="26" t="n"/>
      <c r="F90" s="26" t="n"/>
      <c r="G90" s="35" t="n"/>
      <c r="H90" s="26" t="n"/>
      <c r="I90" s="34" t="n"/>
      <c r="J90" s="35">
        <f>IF($G95="","",$G95*0.15)</f>
        <v/>
      </c>
      <c r="K90" s="35" t="n"/>
      <c r="L90" s="26" t="n"/>
      <c r="M90" s="36">
        <f>IF($A95="","",IF(OR($H95="delivered",$H95="invoiced",$H95="paid"),1,0))</f>
        <v/>
      </c>
      <c r="N90" s="35">
        <f>IF($A95="","",IF(AND($M95=1,$J95&lt;&gt;""),$J95-IF($K95="",0,$K95),""))</f>
        <v/>
      </c>
    </row>
    <row r="91" ht="15" customHeight="1" s="27">
      <c r="A91" s="34" t="n"/>
      <c r="B91" s="26" t="n"/>
      <c r="C91" s="26" t="n"/>
      <c r="D91" s="26" t="n"/>
      <c r="E91" s="26" t="n"/>
      <c r="F91" s="26" t="n"/>
      <c r="G91" s="35" t="n"/>
      <c r="H91" s="26" t="n"/>
      <c r="I91" s="34" t="n"/>
      <c r="J91" s="35">
        <f>IF($G96="","",$G96*0.15)</f>
        <v/>
      </c>
      <c r="K91" s="35" t="n"/>
      <c r="L91" s="26" t="n"/>
      <c r="M91" s="36">
        <f>IF($A96="","",IF(OR($H96="delivered",$H96="invoiced",$H96="paid"),1,0))</f>
        <v/>
      </c>
      <c r="N91" s="35">
        <f>IF($A96="","",IF(AND($M96=1,$J96&lt;&gt;""),$J96-IF($K96="",0,$K96),""))</f>
        <v/>
      </c>
    </row>
    <row r="92" ht="15" customHeight="1" s="27">
      <c r="A92" s="34" t="n"/>
      <c r="B92" s="26" t="n"/>
      <c r="C92" s="26" t="n"/>
      <c r="D92" s="26" t="n"/>
      <c r="E92" s="26" t="n"/>
      <c r="F92" s="26" t="n"/>
      <c r="G92" s="35" t="n"/>
      <c r="H92" s="26" t="n"/>
      <c r="I92" s="34" t="n"/>
      <c r="J92" s="35">
        <f>IF($G97="","",$G97*0.15)</f>
        <v/>
      </c>
      <c r="K92" s="35" t="n"/>
      <c r="L92" s="26" t="n"/>
      <c r="M92" s="36">
        <f>IF($A97="","",IF(OR($H97="delivered",$H97="invoiced",$H97="paid"),1,0))</f>
        <v/>
      </c>
      <c r="N92" s="35">
        <f>IF($A97="","",IF(AND($M97=1,$J97&lt;&gt;""),$J97-IF($K97="",0,$K97),""))</f>
        <v/>
      </c>
    </row>
    <row r="93" ht="15" customHeight="1" s="27">
      <c r="A93" s="34" t="n"/>
      <c r="B93" s="26" t="n"/>
      <c r="C93" s="26" t="n"/>
      <c r="D93" s="26" t="n"/>
      <c r="E93" s="26" t="n"/>
      <c r="F93" s="26" t="n"/>
      <c r="G93" s="35" t="n"/>
      <c r="H93" s="26" t="n"/>
      <c r="I93" s="34" t="n"/>
      <c r="J93" s="35">
        <f>IF($G98="","",$G98*0.15)</f>
        <v/>
      </c>
      <c r="K93" s="35" t="n"/>
      <c r="L93" s="26" t="n"/>
      <c r="M93" s="36">
        <f>IF($A98="","",IF(OR($H98="delivered",$H98="invoiced",$H98="paid"),1,0))</f>
        <v/>
      </c>
      <c r="N93" s="35">
        <f>IF($A98="","",IF(AND($M98=1,$J98&lt;&gt;""),$J98-IF($K98="",0,$K98),""))</f>
        <v/>
      </c>
    </row>
    <row r="94" ht="15" customHeight="1" s="27">
      <c r="A94" s="34" t="n"/>
      <c r="B94" s="26" t="n"/>
      <c r="C94" s="26" t="n"/>
      <c r="D94" s="26" t="n"/>
      <c r="E94" s="26" t="n"/>
      <c r="F94" s="26" t="n"/>
      <c r="G94" s="35" t="n"/>
      <c r="H94" s="26" t="n"/>
      <c r="I94" s="34" t="n"/>
      <c r="J94" s="35">
        <f>IF($G99="","",$G99*0.15)</f>
        <v/>
      </c>
      <c r="K94" s="35" t="n"/>
      <c r="L94" s="26" t="n"/>
      <c r="M94" s="36">
        <f>IF($A99="","",IF(OR($H99="delivered",$H99="invoiced",$H99="paid"),1,0))</f>
        <v/>
      </c>
      <c r="N94" s="35">
        <f>IF($A99="","",IF(AND($M99=1,$J99&lt;&gt;""),$J99-IF($K99="",0,$K99),""))</f>
        <v/>
      </c>
    </row>
    <row r="95" ht="15" customHeight="1" s="27">
      <c r="A95" s="34" t="n"/>
      <c r="B95" s="26" t="n"/>
      <c r="C95" s="26" t="n"/>
      <c r="D95" s="26" t="n"/>
      <c r="E95" s="26" t="n"/>
      <c r="F95" s="26" t="n"/>
      <c r="G95" s="35" t="n"/>
      <c r="H95" s="26" t="n"/>
      <c r="I95" s="34" t="n"/>
      <c r="J95" s="35">
        <f>IF($G100="","",$G100*0.15)</f>
        <v/>
      </c>
      <c r="K95" s="35" t="n"/>
      <c r="L95" s="26" t="n"/>
      <c r="M95" s="36">
        <f>IF($A100="","",IF(OR($H100="delivered",$H100="invoiced",$H100="paid"),1,0))</f>
        <v/>
      </c>
      <c r="N95" s="35">
        <f>IF($A100="","",IF(AND($M100=1,$J100&lt;&gt;""),$J100-IF($K100="",0,$K100),""))</f>
        <v/>
      </c>
    </row>
    <row r="96" ht="15" customHeight="1" s="27">
      <c r="A96" s="34" t="n"/>
      <c r="B96" s="26" t="n"/>
      <c r="C96" s="26" t="n"/>
      <c r="D96" s="26" t="n"/>
      <c r="E96" s="26" t="n"/>
      <c r="F96" s="26" t="n"/>
      <c r="G96" s="35" t="n"/>
      <c r="H96" s="26" t="n"/>
      <c r="I96" s="34" t="n"/>
      <c r="J96" s="35">
        <f>IF($G101="","",$G101*0.15)</f>
        <v/>
      </c>
      <c r="K96" s="35" t="n"/>
      <c r="L96" s="26" t="n"/>
      <c r="M96" s="36">
        <f>IF($A101="","",IF(OR($H101="delivered",$H101="invoiced",$H101="paid"),1,0))</f>
        <v/>
      </c>
      <c r="N96" s="35">
        <f>IF($A101="","",IF(AND($M101=1,$J101&lt;&gt;""),$J101-IF($K101="",0,$K101),""))</f>
        <v/>
      </c>
    </row>
    <row r="97" ht="15" customHeight="1" s="27">
      <c r="A97" s="34" t="n"/>
      <c r="B97" s="26" t="n"/>
      <c r="C97" s="26" t="n"/>
      <c r="D97" s="26" t="n"/>
      <c r="E97" s="26" t="n"/>
      <c r="F97" s="26" t="n"/>
      <c r="G97" s="35" t="n"/>
      <c r="H97" s="26" t="n"/>
      <c r="I97" s="34" t="n"/>
      <c r="J97" s="35">
        <f>IF($G102="","",$G102*0.15)</f>
        <v/>
      </c>
      <c r="K97" s="35" t="n"/>
      <c r="L97" s="26" t="n"/>
      <c r="M97" s="36">
        <f>IF($A102="","",IF(OR($H102="delivered",$H102="invoiced",$H102="paid"),1,0))</f>
        <v/>
      </c>
      <c r="N97" s="35">
        <f>IF($A102="","",IF(AND($M102=1,$J102&lt;&gt;""),$J102-IF($K102="",0,$K102),""))</f>
        <v/>
      </c>
    </row>
    <row r="98" ht="15" customHeight="1" s="27">
      <c r="A98" s="34" t="n"/>
      <c r="B98" s="26" t="n"/>
      <c r="C98" s="26" t="n"/>
      <c r="D98" s="26" t="n"/>
      <c r="E98" s="26" t="n"/>
      <c r="F98" s="26" t="n"/>
      <c r="G98" s="35" t="n"/>
      <c r="H98" s="26" t="n"/>
      <c r="I98" s="34" t="n"/>
      <c r="J98" s="35">
        <f>IF($G103="","",$G103*0.15)</f>
        <v/>
      </c>
      <c r="K98" s="35" t="n"/>
      <c r="L98" s="26" t="n"/>
      <c r="M98" s="36">
        <f>IF($A103="","",IF(OR($H103="delivered",$H103="invoiced",$H103="paid"),1,0))</f>
        <v/>
      </c>
      <c r="N98" s="35">
        <f>IF($A103="","",IF(AND($M103=1,$J103&lt;&gt;""),$J103-IF($K103="",0,$K103),""))</f>
        <v/>
      </c>
    </row>
    <row r="99" ht="15" customHeight="1" s="27">
      <c r="A99" s="34" t="n"/>
      <c r="B99" s="26" t="n"/>
      <c r="C99" s="26" t="n"/>
      <c r="D99" s="26" t="n"/>
      <c r="E99" s="26" t="n"/>
      <c r="F99" s="26" t="n"/>
      <c r="G99" s="35" t="n"/>
      <c r="H99" s="26" t="n"/>
      <c r="I99" s="34" t="n"/>
      <c r="J99" s="35">
        <f>IF($G104="","",$G104*0.15)</f>
        <v/>
      </c>
      <c r="K99" s="35" t="n"/>
      <c r="L99" s="26" t="n"/>
      <c r="M99" s="36">
        <f>IF($A104="","",IF(OR($H104="delivered",$H104="invoiced",$H104="paid"),1,0))</f>
        <v/>
      </c>
      <c r="N99" s="35">
        <f>IF($A104="","",IF(AND($M104=1,$J104&lt;&gt;""),$J104-IF($K104="",0,$K104),""))</f>
        <v/>
      </c>
    </row>
    <row r="100" ht="15" customHeight="1" s="27">
      <c r="A100" s="34" t="n"/>
      <c r="B100" s="26" t="n"/>
      <c r="C100" s="26" t="n"/>
      <c r="D100" s="26" t="n"/>
      <c r="E100" s="26" t="n"/>
      <c r="F100" s="26" t="n"/>
      <c r="G100" s="35" t="n"/>
      <c r="H100" s="26" t="n"/>
      <c r="I100" s="34" t="n"/>
      <c r="J100" s="35">
        <f>IF($G105="","",$G105*0.15)</f>
        <v/>
      </c>
      <c r="K100" s="35" t="n"/>
      <c r="L100" s="26" t="n"/>
      <c r="M100" s="36">
        <f>IF($A105="","",IF(OR($H105="delivered",$H105="invoiced",$H105="paid"),1,0))</f>
        <v/>
      </c>
      <c r="N100" s="35">
        <f>IF($A105="","",IF(AND($M105=1,$J105&lt;&gt;""),$J105-IF($K105="",0,$K105),""))</f>
        <v/>
      </c>
    </row>
    <row r="101" ht="15" customHeight="1" s="27">
      <c r="A101" s="34" t="n"/>
      <c r="B101" s="26" t="n"/>
      <c r="C101" s="26" t="n"/>
      <c r="D101" s="26" t="n"/>
      <c r="E101" s="26" t="n"/>
      <c r="F101" s="26" t="n"/>
      <c r="G101" s="35" t="n"/>
      <c r="H101" s="26" t="n"/>
      <c r="I101" s="34" t="n"/>
      <c r="J101" s="35">
        <f>IF($G106="","",$G106*0.15)</f>
        <v/>
      </c>
      <c r="K101" s="35" t="n"/>
      <c r="L101" s="26" t="n"/>
      <c r="M101" s="36">
        <f>IF($A106="","",IF(OR($H106="delivered",$H106="invoiced",$H106="paid"),1,0))</f>
        <v/>
      </c>
      <c r="N101" s="35">
        <f>IF($A106="","",IF(AND($M106=1,$J106&lt;&gt;""),$J106-IF($K106="",0,$K106),""))</f>
        <v/>
      </c>
    </row>
    <row r="102" ht="15" customHeight="1" s="27">
      <c r="A102" s="34" t="n"/>
      <c r="B102" s="26" t="n"/>
      <c r="C102" s="26" t="n"/>
      <c r="D102" s="26" t="n"/>
      <c r="E102" s="26" t="n"/>
      <c r="F102" s="26" t="n"/>
      <c r="G102" s="35" t="n"/>
      <c r="H102" s="26" t="n"/>
      <c r="I102" s="34" t="n"/>
      <c r="J102" s="35">
        <f>IF($G107="","",$G107*0.15)</f>
        <v/>
      </c>
      <c r="K102" s="35" t="n"/>
      <c r="L102" s="26" t="n"/>
      <c r="M102" s="36">
        <f>IF($A107="","",IF(OR($H107="delivered",$H107="invoiced",$H107="paid"),1,0))</f>
        <v/>
      </c>
      <c r="N102" s="35">
        <f>IF($A107="","",IF(AND($M107=1,$J107&lt;&gt;""),$J107-IF($K107="",0,$K107),""))</f>
        <v/>
      </c>
    </row>
    <row r="103" ht="15" customHeight="1" s="27">
      <c r="A103" s="34" t="n"/>
      <c r="B103" s="26" t="n"/>
      <c r="C103" s="26" t="n"/>
      <c r="D103" s="26" t="n"/>
      <c r="E103" s="26" t="n"/>
      <c r="F103" s="26" t="n"/>
      <c r="G103" s="35" t="n"/>
      <c r="H103" s="26" t="n"/>
      <c r="I103" s="34" t="n"/>
      <c r="J103" s="35">
        <f>IF($G108="","",$G108*0.15)</f>
        <v/>
      </c>
      <c r="K103" s="35" t="n"/>
      <c r="L103" s="26" t="n"/>
      <c r="M103" s="36">
        <f>IF($A108="","",IF(OR($H108="delivered",$H108="invoiced",$H108="paid"),1,0))</f>
        <v/>
      </c>
      <c r="N103" s="35">
        <f>IF($A108="","",IF(AND($M108=1,$J108&lt;&gt;""),$J108-IF($K108="",0,$K108),""))</f>
        <v/>
      </c>
    </row>
    <row r="104" ht="15" customHeight="1" s="27">
      <c r="A104" s="34" t="n"/>
      <c r="B104" s="26" t="n"/>
      <c r="C104" s="26" t="n"/>
      <c r="D104" s="26" t="n"/>
      <c r="E104" s="26" t="n"/>
      <c r="F104" s="26" t="n"/>
      <c r="G104" s="35" t="n"/>
      <c r="H104" s="26" t="n"/>
      <c r="I104" s="34" t="n"/>
      <c r="J104" s="35">
        <f>IF($G109="","",$G109*0.15)</f>
        <v/>
      </c>
      <c r="K104" s="35" t="n"/>
      <c r="L104" s="26" t="n"/>
      <c r="M104" s="36">
        <f>IF($A109="","",IF(OR($H109="delivered",$H109="invoiced",$H109="paid"),1,0))</f>
        <v/>
      </c>
      <c r="N104" s="35">
        <f>IF($A109="","",IF(AND($M109=1,$J109&lt;&gt;""),$J109-IF($K109="",0,$K109),""))</f>
        <v/>
      </c>
    </row>
    <row r="105" ht="15" customHeight="1" s="27">
      <c r="A105" s="34" t="n"/>
      <c r="B105" s="26" t="n"/>
      <c r="C105" s="26" t="n"/>
      <c r="D105" s="26" t="n"/>
      <c r="E105" s="26" t="n"/>
      <c r="F105" s="26" t="n"/>
      <c r="G105" s="35" t="n"/>
      <c r="H105" s="26" t="n"/>
      <c r="I105" s="34" t="n"/>
      <c r="J105" s="35">
        <f>IF($G110="","",$G110*0.15)</f>
        <v/>
      </c>
      <c r="K105" s="35" t="n"/>
      <c r="L105" s="26" t="n"/>
      <c r="M105" s="36">
        <f>IF($A110="","",IF(OR($H110="delivered",$H110="invoiced",$H110="paid"),1,0))</f>
        <v/>
      </c>
      <c r="N105" s="35">
        <f>IF($A110="","",IF(AND($M110=1,$J110&lt;&gt;""),$J110-IF($K110="",0,$K110),""))</f>
        <v/>
      </c>
    </row>
    <row r="106" ht="15" customHeight="1" s="27">
      <c r="A106" s="34" t="n"/>
      <c r="B106" s="26" t="n"/>
      <c r="C106" s="26" t="n"/>
      <c r="D106" s="26" t="n"/>
      <c r="E106" s="26" t="n"/>
      <c r="F106" s="26" t="n"/>
      <c r="G106" s="35" t="n"/>
      <c r="H106" s="26" t="n"/>
      <c r="I106" s="34" t="n"/>
      <c r="J106" s="35">
        <f>IF($G111="","",$G111*0.15)</f>
        <v/>
      </c>
      <c r="K106" s="35" t="n"/>
      <c r="L106" s="26" t="n"/>
      <c r="M106" s="36">
        <f>IF($A111="","",IF(OR($H111="delivered",$H111="invoiced",$H111="paid"),1,0))</f>
        <v/>
      </c>
      <c r="N106" s="35">
        <f>IF($A111="","",IF(AND($M111=1,$J111&lt;&gt;""),$J111-IF($K111="",0,$K111),""))</f>
        <v/>
      </c>
    </row>
    <row r="107" ht="15" customHeight="1" s="27">
      <c r="A107" s="34" t="n"/>
      <c r="B107" s="26" t="n"/>
      <c r="C107" s="26" t="n"/>
      <c r="D107" s="26" t="n"/>
      <c r="E107" s="26" t="n"/>
      <c r="F107" s="26" t="n"/>
      <c r="G107" s="35" t="n"/>
      <c r="H107" s="26" t="n"/>
      <c r="I107" s="34" t="n"/>
      <c r="J107" s="35">
        <f>IF($G112="","",$G112*0.15)</f>
        <v/>
      </c>
      <c r="K107" s="35" t="n"/>
      <c r="L107" s="26" t="n"/>
      <c r="M107" s="36">
        <f>IF($A112="","",IF(OR($H112="delivered",$H112="invoiced",$H112="paid"),1,0))</f>
        <v/>
      </c>
      <c r="N107" s="35">
        <f>IF($A112="","",IF(AND($M112=1,$J112&lt;&gt;""),$J112-IF($K112="",0,$K112),""))</f>
        <v/>
      </c>
    </row>
    <row r="108" ht="15" customHeight="1" s="27">
      <c r="A108" s="34" t="n"/>
      <c r="B108" s="26" t="n"/>
      <c r="C108" s="26" t="n"/>
      <c r="D108" s="26" t="n"/>
      <c r="E108" s="26" t="n"/>
      <c r="F108" s="26" t="n"/>
      <c r="G108" s="35" t="n"/>
      <c r="H108" s="26" t="n"/>
      <c r="I108" s="34" t="n"/>
      <c r="J108" s="35">
        <f>IF($G113="","",$G113*0.15)</f>
        <v/>
      </c>
      <c r="K108" s="35" t="n"/>
      <c r="L108" s="26" t="n"/>
      <c r="M108" s="36">
        <f>IF($A113="","",IF(OR($H113="delivered",$H113="invoiced",$H113="paid"),1,0))</f>
        <v/>
      </c>
      <c r="N108" s="35">
        <f>IF($A113="","",IF(AND($M113=1,$J113&lt;&gt;""),$J113-IF($K113="",0,$K113),""))</f>
        <v/>
      </c>
    </row>
    <row r="109" ht="15" customHeight="1" s="27">
      <c r="A109" s="34" t="n"/>
      <c r="B109" s="26" t="n"/>
      <c r="C109" s="26" t="n"/>
      <c r="D109" s="26" t="n"/>
      <c r="E109" s="26" t="n"/>
      <c r="F109" s="26" t="n"/>
      <c r="G109" s="35" t="n"/>
      <c r="H109" s="26" t="n"/>
      <c r="I109" s="34" t="n"/>
      <c r="J109" s="35">
        <f>IF($G114="","",$G114*0.15)</f>
        <v/>
      </c>
      <c r="K109" s="35" t="n"/>
      <c r="L109" s="26" t="n"/>
      <c r="M109" s="36">
        <f>IF($A114="","",IF(OR($H114="delivered",$H114="invoiced",$H114="paid"),1,0))</f>
        <v/>
      </c>
      <c r="N109" s="35">
        <f>IF($A114="","",IF(AND($M114=1,$J114&lt;&gt;""),$J114-IF($K114="",0,$K114),""))</f>
        <v/>
      </c>
    </row>
    <row r="110" ht="15" customHeight="1" s="27">
      <c r="A110" s="34" t="n"/>
      <c r="B110" s="26" t="n"/>
      <c r="C110" s="26" t="n"/>
      <c r="D110" s="26" t="n"/>
      <c r="E110" s="26" t="n"/>
      <c r="F110" s="26" t="n"/>
      <c r="G110" s="35" t="n"/>
      <c r="H110" s="26" t="n"/>
      <c r="I110" s="34" t="n"/>
      <c r="J110" s="35">
        <f>IF($G115="","",$G115*0.15)</f>
        <v/>
      </c>
      <c r="K110" s="35" t="n"/>
      <c r="L110" s="26" t="n"/>
      <c r="M110" s="36">
        <f>IF($A115="","",IF(OR($H115="delivered",$H115="invoiced",$H115="paid"),1,0))</f>
        <v/>
      </c>
      <c r="N110" s="35">
        <f>IF($A115="","",IF(AND($M115=1,$J115&lt;&gt;""),$J115-IF($K115="",0,$K115),""))</f>
        <v/>
      </c>
    </row>
    <row r="111" ht="15" customHeight="1" s="27">
      <c r="A111" s="34" t="n"/>
      <c r="B111" s="26" t="n"/>
      <c r="C111" s="26" t="n"/>
      <c r="D111" s="26" t="n"/>
      <c r="E111" s="26" t="n"/>
      <c r="F111" s="26" t="n"/>
      <c r="G111" s="35" t="n"/>
      <c r="H111" s="26" t="n"/>
      <c r="I111" s="34" t="n"/>
      <c r="J111" s="35">
        <f>IF($G116="","",$G116*0.15)</f>
        <v/>
      </c>
      <c r="K111" s="35" t="n"/>
      <c r="L111" s="26" t="n"/>
      <c r="M111" s="36">
        <f>IF($A116="","",IF(OR($H116="delivered",$H116="invoiced",$H116="paid"),1,0))</f>
        <v/>
      </c>
      <c r="N111" s="35">
        <f>IF($A116="","",IF(AND($M116=1,$J116&lt;&gt;""),$J116-IF($K116="",0,$K116),""))</f>
        <v/>
      </c>
    </row>
    <row r="112" ht="15" customHeight="1" s="27">
      <c r="A112" s="34" t="n"/>
      <c r="B112" s="26" t="n"/>
      <c r="C112" s="26" t="n"/>
      <c r="D112" s="26" t="n"/>
      <c r="E112" s="26" t="n"/>
      <c r="F112" s="26" t="n"/>
      <c r="G112" s="35" t="n"/>
      <c r="H112" s="26" t="n"/>
      <c r="I112" s="34" t="n"/>
      <c r="J112" s="35">
        <f>IF($G117="","",$G117*0.15)</f>
        <v/>
      </c>
      <c r="K112" s="35" t="n"/>
      <c r="L112" s="26" t="n"/>
      <c r="M112" s="36">
        <f>IF($A117="","",IF(OR($H117="delivered",$H117="invoiced",$H117="paid"),1,0))</f>
        <v/>
      </c>
      <c r="N112" s="35">
        <f>IF($A117="","",IF(AND($M117=1,$J117&lt;&gt;""),$J117-IF($K117="",0,$K117),""))</f>
        <v/>
      </c>
    </row>
    <row r="113" ht="15" customHeight="1" s="27">
      <c r="A113" s="34" t="n"/>
      <c r="B113" s="26" t="n"/>
      <c r="C113" s="26" t="n"/>
      <c r="D113" s="26" t="n"/>
      <c r="E113" s="26" t="n"/>
      <c r="F113" s="26" t="n"/>
      <c r="G113" s="35" t="n"/>
      <c r="H113" s="26" t="n"/>
      <c r="I113" s="34" t="n"/>
      <c r="J113" s="35">
        <f>IF($G118="","",$G118*0.15)</f>
        <v/>
      </c>
      <c r="K113" s="35" t="n"/>
      <c r="L113" s="26" t="n"/>
      <c r="M113" s="36">
        <f>IF($A118="","",IF(OR($H118="delivered",$H118="invoiced",$H118="paid"),1,0))</f>
        <v/>
      </c>
      <c r="N113" s="35">
        <f>IF($A118="","",IF(AND($M118=1,$J118&lt;&gt;""),$J118-IF($K118="",0,$K118),""))</f>
        <v/>
      </c>
    </row>
    <row r="114" ht="15" customHeight="1" s="27">
      <c r="A114" s="34" t="n"/>
      <c r="B114" s="26" t="n"/>
      <c r="C114" s="26" t="n"/>
      <c r="D114" s="26" t="n"/>
      <c r="E114" s="26" t="n"/>
      <c r="F114" s="26" t="n"/>
      <c r="G114" s="35" t="n"/>
      <c r="H114" s="26" t="n"/>
      <c r="I114" s="34" t="n"/>
      <c r="J114" s="35">
        <f>IF($G119="","",$G119*0.15)</f>
        <v/>
      </c>
      <c r="K114" s="35" t="n"/>
      <c r="L114" s="26" t="n"/>
      <c r="M114" s="36">
        <f>IF($A119="","",IF(OR($H119="delivered",$H119="invoiced",$H119="paid"),1,0))</f>
        <v/>
      </c>
      <c r="N114" s="35">
        <f>IF($A119="","",IF(AND($M119=1,$J119&lt;&gt;""),$J119-IF($K119="",0,$K119),""))</f>
        <v/>
      </c>
    </row>
    <row r="115" ht="15" customHeight="1" s="27">
      <c r="A115" s="34" t="n"/>
      <c r="B115" s="26" t="n"/>
      <c r="C115" s="26" t="n"/>
      <c r="D115" s="26" t="n"/>
      <c r="E115" s="26" t="n"/>
      <c r="F115" s="26" t="n"/>
      <c r="G115" s="35" t="n"/>
      <c r="H115" s="26" t="n"/>
      <c r="I115" s="34" t="n"/>
      <c r="J115" s="35">
        <f>IF($G120="","",$G120*0.15)</f>
        <v/>
      </c>
      <c r="K115" s="35" t="n"/>
      <c r="L115" s="26" t="n"/>
      <c r="M115" s="36">
        <f>IF($A120="","",IF(OR($H120="delivered",$H120="invoiced",$H120="paid"),1,0))</f>
        <v/>
      </c>
      <c r="N115" s="35">
        <f>IF($A120="","",IF(AND($M120=1,$J120&lt;&gt;""),$J120-IF($K120="",0,$K120),""))</f>
        <v/>
      </c>
    </row>
    <row r="116" ht="15" customHeight="1" s="27">
      <c r="A116" s="34" t="n"/>
      <c r="B116" s="26" t="n"/>
      <c r="C116" s="26" t="n"/>
      <c r="D116" s="26" t="n"/>
      <c r="E116" s="26" t="n"/>
      <c r="F116" s="26" t="n"/>
      <c r="G116" s="35" t="n"/>
      <c r="H116" s="26" t="n"/>
      <c r="I116" s="34" t="n"/>
      <c r="J116" s="35">
        <f>IF($G121="","",$G121*0.15)</f>
        <v/>
      </c>
      <c r="K116" s="35" t="n"/>
      <c r="L116" s="26" t="n"/>
      <c r="M116" s="36">
        <f>IF($A121="","",IF(OR($H121="delivered",$H121="invoiced",$H121="paid"),1,0))</f>
        <v/>
      </c>
      <c r="N116" s="35">
        <f>IF($A121="","",IF(AND($M121=1,$J121&lt;&gt;""),$J121-IF($K121="",0,$K121),""))</f>
        <v/>
      </c>
    </row>
    <row r="117" ht="15" customHeight="1" s="27">
      <c r="A117" s="34" t="n"/>
      <c r="B117" s="26" t="n"/>
      <c r="C117" s="26" t="n"/>
      <c r="D117" s="26" t="n"/>
      <c r="E117" s="26" t="n"/>
      <c r="F117" s="26" t="n"/>
      <c r="G117" s="35" t="n"/>
      <c r="H117" s="26" t="n"/>
      <c r="I117" s="34" t="n"/>
      <c r="J117" s="35">
        <f>IF($G122="","",$G122*0.15)</f>
        <v/>
      </c>
      <c r="K117" s="35" t="n"/>
      <c r="L117" s="26" t="n"/>
      <c r="M117" s="36">
        <f>IF($A122="","",IF(OR($H122="delivered",$H122="invoiced",$H122="paid"),1,0))</f>
        <v/>
      </c>
      <c r="N117" s="35">
        <f>IF($A122="","",IF(AND($M122=1,$J122&lt;&gt;""),$J122-IF($K122="",0,$K122),""))</f>
        <v/>
      </c>
    </row>
    <row r="118" ht="15" customHeight="1" s="27">
      <c r="A118" s="34" t="n"/>
      <c r="B118" s="26" t="n"/>
      <c r="C118" s="26" t="n"/>
      <c r="D118" s="26" t="n"/>
      <c r="E118" s="26" t="n"/>
      <c r="F118" s="26" t="n"/>
      <c r="G118" s="35" t="n"/>
      <c r="H118" s="26" t="n"/>
      <c r="I118" s="34" t="n"/>
      <c r="J118" s="35">
        <f>IF($G123="","",$G123*0.15)</f>
        <v/>
      </c>
      <c r="K118" s="35" t="n"/>
      <c r="L118" s="26" t="n"/>
      <c r="M118" s="36">
        <f>IF($A123="","",IF(OR($H123="delivered",$H123="invoiced",$H123="paid"),1,0))</f>
        <v/>
      </c>
      <c r="N118" s="35">
        <f>IF($A123="","",IF(AND($M123=1,$J123&lt;&gt;""),$J123-IF($K123="",0,$K123),""))</f>
        <v/>
      </c>
    </row>
    <row r="119" ht="15" customHeight="1" s="27">
      <c r="A119" s="34" t="n"/>
      <c r="B119" s="26" t="n"/>
      <c r="C119" s="26" t="n"/>
      <c r="D119" s="26" t="n"/>
      <c r="E119" s="26" t="n"/>
      <c r="F119" s="26" t="n"/>
      <c r="G119" s="35" t="n"/>
      <c r="H119" s="26" t="n"/>
      <c r="I119" s="34" t="n"/>
      <c r="J119" s="35">
        <f>IF($G124="","",$G124*0.15)</f>
        <v/>
      </c>
      <c r="K119" s="35" t="n"/>
      <c r="L119" s="26" t="n"/>
      <c r="M119" s="36">
        <f>IF($A124="","",IF(OR($H124="delivered",$H124="invoiced",$H124="paid"),1,0))</f>
        <v/>
      </c>
      <c r="N119" s="35">
        <f>IF($A124="","",IF(AND($M124=1,$J124&lt;&gt;""),$J124-IF($K124="",0,$K124),""))</f>
        <v/>
      </c>
    </row>
    <row r="120" ht="15" customHeight="1" s="27">
      <c r="A120" s="34" t="n"/>
      <c r="B120" s="26" t="n"/>
      <c r="C120" s="26" t="n"/>
      <c r="D120" s="26" t="n"/>
      <c r="E120" s="26" t="n"/>
      <c r="F120" s="26" t="n"/>
      <c r="G120" s="35" t="n"/>
      <c r="H120" s="26" t="n"/>
      <c r="I120" s="34" t="n"/>
      <c r="J120" s="35">
        <f>IF($G125="","",$G125*0.15)</f>
        <v/>
      </c>
      <c r="K120" s="35" t="n"/>
      <c r="L120" s="26" t="n"/>
      <c r="M120" s="36">
        <f>IF($A125="","",IF(OR($H125="delivered",$H125="invoiced",$H125="paid"),1,0))</f>
        <v/>
      </c>
      <c r="N120" s="35">
        <f>IF($A125="","",IF(AND($M125=1,$J125&lt;&gt;""),$J125-IF($K125="",0,$K125),""))</f>
        <v/>
      </c>
    </row>
    <row r="121" ht="15" customHeight="1" s="27">
      <c r="A121" s="34" t="n"/>
      <c r="B121" s="26" t="n"/>
      <c r="C121" s="26" t="n"/>
      <c r="D121" s="26" t="n"/>
      <c r="E121" s="26" t="n"/>
      <c r="F121" s="26" t="n"/>
      <c r="G121" s="35" t="n"/>
      <c r="H121" s="26" t="n"/>
      <c r="I121" s="34" t="n"/>
      <c r="J121" s="35">
        <f>IF($G126="","",$G126*0.15)</f>
        <v/>
      </c>
      <c r="K121" s="35" t="n"/>
      <c r="L121" s="26" t="n"/>
      <c r="M121" s="36">
        <f>IF($A126="","",IF(OR($H126="delivered",$H126="invoiced",$H126="paid"),1,0))</f>
        <v/>
      </c>
      <c r="N121" s="35">
        <f>IF($A126="","",IF(AND($M126=1,$J126&lt;&gt;""),$J126-IF($K126="",0,$K126),""))</f>
        <v/>
      </c>
    </row>
    <row r="122" ht="15" customHeight="1" s="27">
      <c r="A122" s="34" t="n"/>
      <c r="B122" s="26" t="n"/>
      <c r="C122" s="26" t="n"/>
      <c r="D122" s="26" t="n"/>
      <c r="E122" s="26" t="n"/>
      <c r="F122" s="26" t="n"/>
      <c r="G122" s="35" t="n"/>
      <c r="H122" s="26" t="n"/>
      <c r="I122" s="34" t="n"/>
      <c r="J122" s="35">
        <f>IF($G127="","",$G127*0.15)</f>
        <v/>
      </c>
      <c r="K122" s="35" t="n"/>
      <c r="L122" s="26" t="n"/>
      <c r="M122" s="36">
        <f>IF($A127="","",IF(OR($H127="delivered",$H127="invoiced",$H127="paid"),1,0))</f>
        <v/>
      </c>
      <c r="N122" s="35">
        <f>IF($A127="","",IF(AND($M127=1,$J127&lt;&gt;""),$J127-IF($K127="",0,$K127),""))</f>
        <v/>
      </c>
    </row>
    <row r="123" ht="15" customHeight="1" s="27">
      <c r="A123" s="34" t="n"/>
      <c r="B123" s="26" t="n"/>
      <c r="C123" s="26" t="n"/>
      <c r="D123" s="26" t="n"/>
      <c r="E123" s="26" t="n"/>
      <c r="F123" s="26" t="n"/>
      <c r="G123" s="35" t="n"/>
      <c r="H123" s="26" t="n"/>
      <c r="I123" s="34" t="n"/>
      <c r="J123" s="35">
        <f>IF($G128="","",$G128*0.15)</f>
        <v/>
      </c>
      <c r="K123" s="35" t="n"/>
      <c r="L123" s="26" t="n"/>
      <c r="M123" s="36">
        <f>IF($A128="","",IF(OR($H128="delivered",$H128="invoiced",$H128="paid"),1,0))</f>
        <v/>
      </c>
      <c r="N123" s="35">
        <f>IF($A128="","",IF(AND($M128=1,$J128&lt;&gt;""),$J128-IF($K128="",0,$K128),""))</f>
        <v/>
      </c>
    </row>
    <row r="124" ht="15" customHeight="1" s="27">
      <c r="A124" s="34" t="n"/>
      <c r="B124" s="26" t="n"/>
      <c r="C124" s="26" t="n"/>
      <c r="D124" s="26" t="n"/>
      <c r="E124" s="26" t="n"/>
      <c r="F124" s="26" t="n"/>
      <c r="G124" s="35" t="n"/>
      <c r="H124" s="26" t="n"/>
      <c r="I124" s="34" t="n"/>
      <c r="J124" s="35">
        <f>IF($G129="","",$G129*0.15)</f>
        <v/>
      </c>
      <c r="K124" s="35" t="n"/>
      <c r="L124" s="26" t="n"/>
      <c r="M124" s="36">
        <f>IF($A129="","",IF(OR($H129="delivered",$H129="invoiced",$H129="paid"),1,0))</f>
        <v/>
      </c>
      <c r="N124" s="35">
        <f>IF($A129="","",IF(AND($M129=1,$J129&lt;&gt;""),$J129-IF($K129="",0,$K129),""))</f>
        <v/>
      </c>
    </row>
    <row r="125" ht="15" customHeight="1" s="27">
      <c r="A125" s="34" t="n"/>
      <c r="B125" s="26" t="n"/>
      <c r="C125" s="26" t="n"/>
      <c r="D125" s="26" t="n"/>
      <c r="E125" s="26" t="n"/>
      <c r="F125" s="26" t="n"/>
      <c r="G125" s="35" t="n"/>
      <c r="H125" s="26" t="n"/>
      <c r="I125" s="34" t="n"/>
      <c r="J125" s="35">
        <f>IF($G130="","",$G130*0.15)</f>
        <v/>
      </c>
      <c r="K125" s="35" t="n"/>
      <c r="L125" s="26" t="n"/>
      <c r="M125" s="36">
        <f>IF($A130="","",IF(OR($H130="delivered",$H130="invoiced",$H130="paid"),1,0))</f>
        <v/>
      </c>
      <c r="N125" s="35">
        <f>IF($A130="","",IF(AND($M130=1,$J130&lt;&gt;""),$J130-IF($K130="",0,$K130),""))</f>
        <v/>
      </c>
    </row>
    <row r="126" ht="15" customHeight="1" s="27">
      <c r="A126" s="34" t="n"/>
      <c r="B126" s="26" t="n"/>
      <c r="C126" s="26" t="n"/>
      <c r="D126" s="26" t="n"/>
      <c r="E126" s="26" t="n"/>
      <c r="F126" s="26" t="n"/>
      <c r="G126" s="35" t="n"/>
      <c r="H126" s="26" t="n"/>
      <c r="I126" s="34" t="n"/>
      <c r="J126" s="35">
        <f>IF($G131="","",$G131*0.15)</f>
        <v/>
      </c>
      <c r="K126" s="35" t="n"/>
      <c r="L126" s="26" t="n"/>
      <c r="M126" s="36">
        <f>IF($A131="","",IF(OR($H131="delivered",$H131="invoiced",$H131="paid"),1,0))</f>
        <v/>
      </c>
      <c r="N126" s="35">
        <f>IF($A131="","",IF(AND($M131=1,$J131&lt;&gt;""),$J131-IF($K131="",0,$K131),""))</f>
        <v/>
      </c>
    </row>
    <row r="127" ht="15" customHeight="1" s="27">
      <c r="A127" s="34" t="n"/>
      <c r="B127" s="26" t="n"/>
      <c r="C127" s="26" t="n"/>
      <c r="D127" s="26" t="n"/>
      <c r="E127" s="26" t="n"/>
      <c r="F127" s="26" t="n"/>
      <c r="G127" s="35" t="n"/>
      <c r="H127" s="26" t="n"/>
      <c r="I127" s="34" t="n"/>
      <c r="J127" s="35">
        <f>IF($G132="","",$G132*0.15)</f>
        <v/>
      </c>
      <c r="K127" s="35" t="n"/>
      <c r="L127" s="26" t="n"/>
      <c r="M127" s="36">
        <f>IF($A132="","",IF(OR($H132="delivered",$H132="invoiced",$H132="paid"),1,0))</f>
        <v/>
      </c>
      <c r="N127" s="35">
        <f>IF($A132="","",IF(AND($M132=1,$J132&lt;&gt;""),$J132-IF($K132="",0,$K132),""))</f>
        <v/>
      </c>
    </row>
    <row r="128" ht="15" customHeight="1" s="27">
      <c r="A128" s="34" t="n"/>
      <c r="B128" s="26" t="n"/>
      <c r="C128" s="26" t="n"/>
      <c r="D128" s="26" t="n"/>
      <c r="E128" s="26" t="n"/>
      <c r="F128" s="26" t="n"/>
      <c r="G128" s="35" t="n"/>
      <c r="H128" s="26" t="n"/>
      <c r="I128" s="34" t="n"/>
      <c r="J128" s="35">
        <f>IF($G133="","",$G133*0.15)</f>
        <v/>
      </c>
      <c r="K128" s="35" t="n"/>
      <c r="L128" s="26" t="n"/>
      <c r="M128" s="36">
        <f>IF($A133="","",IF(OR($H133="delivered",$H133="invoiced",$H133="paid"),1,0))</f>
        <v/>
      </c>
      <c r="N128" s="35">
        <f>IF($A133="","",IF(AND($M133=1,$J133&lt;&gt;""),$J133-IF($K133="",0,$K133),""))</f>
        <v/>
      </c>
    </row>
    <row r="129" ht="15" customHeight="1" s="27">
      <c r="A129" s="34" t="n"/>
      <c r="B129" s="26" t="n"/>
      <c r="C129" s="26" t="n"/>
      <c r="D129" s="26" t="n"/>
      <c r="E129" s="26" t="n"/>
      <c r="F129" s="26" t="n"/>
      <c r="G129" s="35" t="n"/>
      <c r="H129" s="26" t="n"/>
      <c r="I129" s="34" t="n"/>
      <c r="J129" s="35">
        <f>IF($G134="","",$G134*0.15)</f>
        <v/>
      </c>
      <c r="K129" s="35" t="n"/>
      <c r="L129" s="26" t="n"/>
      <c r="M129" s="36">
        <f>IF($A134="","",IF(OR($H134="delivered",$H134="invoiced",$H134="paid"),1,0))</f>
        <v/>
      </c>
      <c r="N129" s="35">
        <f>IF($A134="","",IF(AND($M134=1,$J134&lt;&gt;""),$J134-IF($K134="",0,$K134),""))</f>
        <v/>
      </c>
    </row>
    <row r="130" ht="15" customHeight="1" s="27">
      <c r="A130" s="34" t="n"/>
      <c r="B130" s="26" t="n"/>
      <c r="C130" s="26" t="n"/>
      <c r="D130" s="26" t="n"/>
      <c r="E130" s="26" t="n"/>
      <c r="F130" s="26" t="n"/>
      <c r="G130" s="35" t="n"/>
      <c r="H130" s="26" t="n"/>
      <c r="I130" s="34" t="n"/>
      <c r="J130" s="35">
        <f>IF($G135="","",$G135*0.15)</f>
        <v/>
      </c>
      <c r="K130" s="35" t="n"/>
      <c r="L130" s="26" t="n"/>
      <c r="M130" s="36">
        <f>IF($A135="","",IF(OR($H135="delivered",$H135="invoiced",$H135="paid"),1,0))</f>
        <v/>
      </c>
      <c r="N130" s="35">
        <f>IF($A135="","",IF(AND($M135=1,$J135&lt;&gt;""),$J135-IF($K135="",0,$K135),""))</f>
        <v/>
      </c>
    </row>
    <row r="131" ht="15" customHeight="1" s="27">
      <c r="A131" s="34" t="n"/>
      <c r="B131" s="26" t="n"/>
      <c r="C131" s="26" t="n"/>
      <c r="D131" s="26" t="n"/>
      <c r="E131" s="26" t="n"/>
      <c r="F131" s="26" t="n"/>
      <c r="G131" s="35" t="n"/>
      <c r="H131" s="26" t="n"/>
      <c r="I131" s="34" t="n"/>
      <c r="J131" s="35">
        <f>IF($G136="","",$G136*0.15)</f>
        <v/>
      </c>
      <c r="K131" s="35" t="n"/>
      <c r="L131" s="26" t="n"/>
      <c r="M131" s="36">
        <f>IF($A136="","",IF(OR($H136="delivered",$H136="invoiced",$H136="paid"),1,0))</f>
        <v/>
      </c>
      <c r="N131" s="35">
        <f>IF($A136="","",IF(AND($M136=1,$J136&lt;&gt;""),$J136-IF($K136="",0,$K136),""))</f>
        <v/>
      </c>
    </row>
    <row r="132" ht="15" customHeight="1" s="27">
      <c r="A132" s="34" t="n"/>
      <c r="B132" s="26" t="n"/>
      <c r="C132" s="26" t="n"/>
      <c r="D132" s="26" t="n"/>
      <c r="E132" s="26" t="n"/>
      <c r="F132" s="26" t="n"/>
      <c r="G132" s="35" t="n"/>
      <c r="H132" s="26" t="n"/>
      <c r="I132" s="34" t="n"/>
      <c r="J132" s="35">
        <f>IF($G137="","",$G137*0.15)</f>
        <v/>
      </c>
      <c r="K132" s="35" t="n"/>
      <c r="L132" s="26" t="n"/>
      <c r="M132" s="36">
        <f>IF($A137="","",IF(OR($H137="delivered",$H137="invoiced",$H137="paid"),1,0))</f>
        <v/>
      </c>
      <c r="N132" s="35">
        <f>IF($A137="","",IF(AND($M137=1,$J137&lt;&gt;""),$J137-IF($K137="",0,$K137),""))</f>
        <v/>
      </c>
    </row>
    <row r="133" ht="15" customHeight="1" s="27">
      <c r="A133" s="34" t="n"/>
      <c r="B133" s="26" t="n"/>
      <c r="C133" s="26" t="n"/>
      <c r="D133" s="26" t="n"/>
      <c r="E133" s="26" t="n"/>
      <c r="F133" s="26" t="n"/>
      <c r="G133" s="35" t="n"/>
      <c r="H133" s="26" t="n"/>
      <c r="I133" s="34" t="n"/>
      <c r="J133" s="35">
        <f>IF($G138="","",$G138*0.15)</f>
        <v/>
      </c>
      <c r="K133" s="35" t="n"/>
      <c r="L133" s="26" t="n"/>
      <c r="M133" s="36">
        <f>IF($A138="","",IF(OR($H138="delivered",$H138="invoiced",$H138="paid"),1,0))</f>
        <v/>
      </c>
      <c r="N133" s="35">
        <f>IF($A138="","",IF(AND($M138=1,$J138&lt;&gt;""),$J138-IF($K138="",0,$K138),""))</f>
        <v/>
      </c>
    </row>
    <row r="134" ht="15" customHeight="1" s="27">
      <c r="A134" s="34" t="n"/>
      <c r="B134" s="26" t="n"/>
      <c r="C134" s="26" t="n"/>
      <c r="D134" s="26" t="n"/>
      <c r="E134" s="26" t="n"/>
      <c r="F134" s="26" t="n"/>
      <c r="G134" s="35" t="n"/>
      <c r="H134" s="26" t="n"/>
      <c r="I134" s="34" t="n"/>
      <c r="J134" s="35">
        <f>IF($G139="","",$G139*0.15)</f>
        <v/>
      </c>
      <c r="K134" s="35" t="n"/>
      <c r="L134" s="26" t="n"/>
      <c r="M134" s="36">
        <f>IF($A139="","",IF(OR($H139="delivered",$H139="invoiced",$H139="paid"),1,0))</f>
        <v/>
      </c>
      <c r="N134" s="35">
        <f>IF($A139="","",IF(AND($M139=1,$J139&lt;&gt;""),$J139-IF($K139="",0,$K139),""))</f>
        <v/>
      </c>
    </row>
    <row r="135" ht="15" customHeight="1" s="27">
      <c r="A135" s="34" t="n"/>
      <c r="B135" s="26" t="n"/>
      <c r="C135" s="26" t="n"/>
      <c r="D135" s="26" t="n"/>
      <c r="E135" s="26" t="n"/>
      <c r="F135" s="26" t="n"/>
      <c r="G135" s="35" t="n"/>
      <c r="H135" s="26" t="n"/>
      <c r="I135" s="34" t="n"/>
      <c r="J135" s="35">
        <f>IF($G140="","",$G140*0.15)</f>
        <v/>
      </c>
      <c r="K135" s="35" t="n"/>
      <c r="L135" s="26" t="n"/>
      <c r="M135" s="36">
        <f>IF($A140="","",IF(OR($H140="delivered",$H140="invoiced",$H140="paid"),1,0))</f>
        <v/>
      </c>
      <c r="N135" s="35">
        <f>IF($A140="","",IF(AND($M140=1,$J140&lt;&gt;""),$J140-IF($K140="",0,$K140),""))</f>
        <v/>
      </c>
    </row>
    <row r="136" ht="15" customHeight="1" s="27">
      <c r="A136" s="34" t="n"/>
      <c r="B136" s="26" t="n"/>
      <c r="C136" s="26" t="n"/>
      <c r="D136" s="26" t="n"/>
      <c r="E136" s="26" t="n"/>
      <c r="F136" s="26" t="n"/>
      <c r="G136" s="35" t="n"/>
      <c r="H136" s="26" t="n"/>
      <c r="I136" s="34" t="n"/>
      <c r="J136" s="35">
        <f>IF($G141="","",$G141*0.15)</f>
        <v/>
      </c>
      <c r="K136" s="35" t="n"/>
      <c r="L136" s="26" t="n"/>
      <c r="M136" s="36">
        <f>IF($A141="","",IF(OR($H141="delivered",$H141="invoiced",$H141="paid"),1,0))</f>
        <v/>
      </c>
      <c r="N136" s="35">
        <f>IF($A141="","",IF(AND($M141=1,$J141&lt;&gt;""),$J141-IF($K141="",0,$K141),""))</f>
        <v/>
      </c>
    </row>
    <row r="137" ht="15" customHeight="1" s="27">
      <c r="A137" s="34" t="n"/>
      <c r="B137" s="26" t="n"/>
      <c r="C137" s="26" t="n"/>
      <c r="D137" s="26" t="n"/>
      <c r="E137" s="26" t="n"/>
      <c r="F137" s="26" t="n"/>
      <c r="G137" s="35" t="n"/>
      <c r="H137" s="26" t="n"/>
      <c r="I137" s="34" t="n"/>
      <c r="J137" s="35">
        <f>IF($G142="","",$G142*0.15)</f>
        <v/>
      </c>
      <c r="K137" s="35" t="n"/>
      <c r="L137" s="26" t="n"/>
      <c r="M137" s="36">
        <f>IF($A142="","",IF(OR($H142="delivered",$H142="invoiced",$H142="paid"),1,0))</f>
        <v/>
      </c>
      <c r="N137" s="35">
        <f>IF($A142="","",IF(AND($M142=1,$J142&lt;&gt;""),$J142-IF($K142="",0,$K142),""))</f>
        <v/>
      </c>
    </row>
    <row r="138" ht="15" customHeight="1" s="27">
      <c r="A138" s="34" t="n"/>
      <c r="B138" s="26" t="n"/>
      <c r="C138" s="26" t="n"/>
      <c r="D138" s="26" t="n"/>
      <c r="E138" s="26" t="n"/>
      <c r="F138" s="26" t="n"/>
      <c r="G138" s="35" t="n"/>
      <c r="H138" s="26" t="n"/>
      <c r="I138" s="34" t="n"/>
      <c r="J138" s="35">
        <f>IF($G143="","",$G143*0.15)</f>
        <v/>
      </c>
      <c r="K138" s="35" t="n"/>
      <c r="L138" s="26" t="n"/>
      <c r="M138" s="36">
        <f>IF($A143="","",IF(OR($H143="delivered",$H143="invoiced",$H143="paid"),1,0))</f>
        <v/>
      </c>
      <c r="N138" s="35">
        <f>IF($A143="","",IF(AND($M143=1,$J143&lt;&gt;""),$J143-IF($K143="",0,$K143),""))</f>
        <v/>
      </c>
    </row>
    <row r="139" ht="15" customHeight="1" s="27">
      <c r="A139" s="34" t="n"/>
      <c r="B139" s="26" t="n"/>
      <c r="C139" s="26" t="n"/>
      <c r="D139" s="26" t="n"/>
      <c r="E139" s="26" t="n"/>
      <c r="F139" s="26" t="n"/>
      <c r="G139" s="35" t="n"/>
      <c r="H139" s="26" t="n"/>
      <c r="I139" s="34" t="n"/>
      <c r="J139" s="35">
        <f>IF($G144="","",$G144*0.15)</f>
        <v/>
      </c>
      <c r="K139" s="35" t="n"/>
      <c r="L139" s="26" t="n"/>
      <c r="M139" s="36">
        <f>IF($A144="","",IF(OR($H144="delivered",$H144="invoiced",$H144="paid"),1,0))</f>
        <v/>
      </c>
      <c r="N139" s="35">
        <f>IF($A144="","",IF(AND($M144=1,$J144&lt;&gt;""),$J144-IF($K144="",0,$K144),""))</f>
        <v/>
      </c>
    </row>
    <row r="140" ht="15" customHeight="1" s="27">
      <c r="A140" s="34" t="n"/>
      <c r="B140" s="26" t="n"/>
      <c r="C140" s="26" t="n"/>
      <c r="D140" s="26" t="n"/>
      <c r="E140" s="26" t="n"/>
      <c r="F140" s="26" t="n"/>
      <c r="G140" s="35" t="n"/>
      <c r="H140" s="26" t="n"/>
      <c r="I140" s="34" t="n"/>
      <c r="J140" s="35">
        <f>IF($G145="","",$G145*0.15)</f>
        <v/>
      </c>
      <c r="K140" s="35" t="n"/>
      <c r="L140" s="26" t="n"/>
      <c r="M140" s="36">
        <f>IF($A145="","",IF(OR($H145="delivered",$H145="invoiced",$H145="paid"),1,0))</f>
        <v/>
      </c>
      <c r="N140" s="35">
        <f>IF($A145="","",IF(AND($M145=1,$J145&lt;&gt;""),$J145-IF($K145="",0,$K145),""))</f>
        <v/>
      </c>
    </row>
    <row r="141" ht="15" customHeight="1" s="27">
      <c r="A141" s="34" t="n"/>
      <c r="B141" s="26" t="n"/>
      <c r="C141" s="26" t="n"/>
      <c r="D141" s="26" t="n"/>
      <c r="E141" s="26" t="n"/>
      <c r="F141" s="26" t="n"/>
      <c r="G141" s="35" t="n"/>
      <c r="H141" s="26" t="n"/>
      <c r="I141" s="34" t="n"/>
      <c r="J141" s="35">
        <f>IF($G146="","",$G146*0.15)</f>
        <v/>
      </c>
      <c r="K141" s="35" t="n"/>
      <c r="L141" s="26" t="n"/>
      <c r="M141" s="36">
        <f>IF($A146="","",IF(OR($H146="delivered",$H146="invoiced",$H146="paid"),1,0))</f>
        <v/>
      </c>
      <c r="N141" s="35">
        <f>IF($A146="","",IF(AND($M146=1,$J146&lt;&gt;""),$J146-IF($K146="",0,$K146),""))</f>
        <v/>
      </c>
    </row>
    <row r="142" ht="15" customHeight="1" s="27">
      <c r="A142" s="34" t="n"/>
      <c r="B142" s="26" t="n"/>
      <c r="C142" s="26" t="n"/>
      <c r="D142" s="26" t="n"/>
      <c r="E142" s="26" t="n"/>
      <c r="F142" s="26" t="n"/>
      <c r="G142" s="35" t="n"/>
      <c r="H142" s="26" t="n"/>
      <c r="I142" s="34" t="n"/>
      <c r="J142" s="35">
        <f>IF($G147="","",$G147*0.15)</f>
        <v/>
      </c>
      <c r="K142" s="35" t="n"/>
      <c r="L142" s="26" t="n"/>
      <c r="M142" s="36">
        <f>IF($A147="","",IF(OR($H147="delivered",$H147="invoiced",$H147="paid"),1,0))</f>
        <v/>
      </c>
      <c r="N142" s="35">
        <f>IF($A147="","",IF(AND($M147=1,$J147&lt;&gt;""),$J147-IF($K147="",0,$K147),""))</f>
        <v/>
      </c>
    </row>
    <row r="143" ht="15" customHeight="1" s="27">
      <c r="A143" s="34" t="n"/>
      <c r="B143" s="26" t="n"/>
      <c r="C143" s="26" t="n"/>
      <c r="D143" s="26" t="n"/>
      <c r="E143" s="26" t="n"/>
      <c r="F143" s="26" t="n"/>
      <c r="G143" s="35" t="n"/>
      <c r="H143" s="26" t="n"/>
      <c r="I143" s="34" t="n"/>
      <c r="J143" s="35">
        <f>IF($G148="","",$G148*0.15)</f>
        <v/>
      </c>
      <c r="K143" s="35" t="n"/>
      <c r="L143" s="26" t="n"/>
      <c r="M143" s="36">
        <f>IF($A148="","",IF(OR($H148="delivered",$H148="invoiced",$H148="paid"),1,0))</f>
        <v/>
      </c>
      <c r="N143" s="35">
        <f>IF($A148="","",IF(AND($M148=1,$J148&lt;&gt;""),$J148-IF($K148="",0,$K148),""))</f>
        <v/>
      </c>
    </row>
    <row r="144" ht="15" customHeight="1" s="27">
      <c r="A144" s="34" t="n"/>
      <c r="B144" s="26" t="n"/>
      <c r="C144" s="26" t="n"/>
      <c r="D144" s="26" t="n"/>
      <c r="E144" s="26" t="n"/>
      <c r="F144" s="26" t="n"/>
      <c r="G144" s="35" t="n"/>
      <c r="H144" s="26" t="n"/>
      <c r="I144" s="34" t="n"/>
      <c r="J144" s="35">
        <f>IF($G149="","",$G149*0.15)</f>
        <v/>
      </c>
      <c r="K144" s="35" t="n"/>
      <c r="L144" s="26" t="n"/>
      <c r="M144" s="36">
        <f>IF($A149="","",IF(OR($H149="delivered",$H149="invoiced",$H149="paid"),1,0))</f>
        <v/>
      </c>
      <c r="N144" s="35">
        <f>IF($A149="","",IF(AND($M149=1,$J149&lt;&gt;""),$J149-IF($K149="",0,$K149),""))</f>
        <v/>
      </c>
    </row>
    <row r="145" ht="15" customHeight="1" s="27">
      <c r="A145" s="34" t="n"/>
      <c r="B145" s="26" t="n"/>
      <c r="C145" s="26" t="n"/>
      <c r="D145" s="26" t="n"/>
      <c r="E145" s="26" t="n"/>
      <c r="F145" s="26" t="n"/>
      <c r="G145" s="35" t="n"/>
      <c r="H145" s="26" t="n"/>
      <c r="I145" s="34" t="n"/>
      <c r="J145" s="35">
        <f>IF($G150="","",$G150*0.15)</f>
        <v/>
      </c>
      <c r="K145" s="35" t="n"/>
      <c r="L145" s="26" t="n"/>
      <c r="M145" s="36">
        <f>IF($A150="","",IF(OR($H150="delivered",$H150="invoiced",$H150="paid"),1,0))</f>
        <v/>
      </c>
      <c r="N145" s="35">
        <f>IF($A150="","",IF(AND($M150=1,$J150&lt;&gt;""),$J150-IF($K150="",0,$K150),""))</f>
        <v/>
      </c>
    </row>
    <row r="146" ht="15" customHeight="1" s="27">
      <c r="A146" s="34" t="n"/>
      <c r="B146" s="26" t="n"/>
      <c r="C146" s="26" t="n"/>
      <c r="D146" s="26" t="n"/>
      <c r="E146" s="26" t="n"/>
      <c r="F146" s="26" t="n"/>
      <c r="G146" s="35" t="n"/>
      <c r="H146" s="26" t="n"/>
      <c r="I146" s="34" t="n"/>
      <c r="J146" s="35">
        <f>IF($G151="","",$G151*0.15)</f>
        <v/>
      </c>
      <c r="K146" s="35" t="n"/>
      <c r="L146" s="26" t="n"/>
      <c r="M146" s="36">
        <f>IF($A151="","",IF(OR($H151="delivered",$H151="invoiced",$H151="paid"),1,0))</f>
        <v/>
      </c>
      <c r="N146" s="35">
        <f>IF($A151="","",IF(AND($M151=1,$J151&lt;&gt;""),$J151-IF($K151="",0,$K151),""))</f>
        <v/>
      </c>
    </row>
    <row r="147" ht="15" customHeight="1" s="27">
      <c r="A147" s="34" t="n"/>
      <c r="B147" s="26" t="n"/>
      <c r="C147" s="26" t="n"/>
      <c r="D147" s="26" t="n"/>
      <c r="E147" s="26" t="n"/>
      <c r="F147" s="26" t="n"/>
      <c r="G147" s="35" t="n"/>
      <c r="H147" s="26" t="n"/>
      <c r="I147" s="34" t="n"/>
      <c r="J147" s="35">
        <f>IF($G152="","",$G152*0.15)</f>
        <v/>
      </c>
      <c r="K147" s="35" t="n"/>
      <c r="L147" s="26" t="n"/>
      <c r="M147" s="36">
        <f>IF($A152="","",IF(OR($H152="delivered",$H152="invoiced",$H152="paid"),1,0))</f>
        <v/>
      </c>
      <c r="N147" s="35">
        <f>IF($A152="","",IF(AND($M152=1,$J152&lt;&gt;""),$J152-IF($K152="",0,$K152),""))</f>
        <v/>
      </c>
    </row>
    <row r="148" ht="15" customHeight="1" s="27">
      <c r="A148" s="34" t="n"/>
      <c r="B148" s="26" t="n"/>
      <c r="C148" s="26" t="n"/>
      <c r="D148" s="26" t="n"/>
      <c r="E148" s="26" t="n"/>
      <c r="F148" s="26" t="n"/>
      <c r="G148" s="35" t="n"/>
      <c r="H148" s="26" t="n"/>
      <c r="I148" s="34" t="n"/>
      <c r="J148" s="35">
        <f>IF($G153="","",$G153*0.15)</f>
        <v/>
      </c>
      <c r="K148" s="35" t="n"/>
      <c r="L148" s="26" t="n"/>
      <c r="M148" s="36">
        <f>IF($A153="","",IF(OR($H153="delivered",$H153="invoiced",$H153="paid"),1,0))</f>
        <v/>
      </c>
      <c r="N148" s="35">
        <f>IF($A153="","",IF(AND($M153=1,$J153&lt;&gt;""),$J153-IF($K153="",0,$K153),""))</f>
        <v/>
      </c>
    </row>
    <row r="149" ht="15" customHeight="1" s="27">
      <c r="A149" s="34" t="n"/>
      <c r="B149" s="26" t="n"/>
      <c r="C149" s="26" t="n"/>
      <c r="D149" s="26" t="n"/>
      <c r="E149" s="26" t="n"/>
      <c r="F149" s="26" t="n"/>
      <c r="G149" s="35" t="n"/>
      <c r="H149" s="26" t="n"/>
      <c r="I149" s="34" t="n"/>
      <c r="J149" s="35">
        <f>IF($G154="","",$G154*0.15)</f>
        <v/>
      </c>
      <c r="K149" s="35" t="n"/>
      <c r="L149" s="26" t="n"/>
      <c r="M149" s="36">
        <f>IF($A154="","",IF(OR($H154="delivered",$H154="invoiced",$H154="paid"),1,0))</f>
        <v/>
      </c>
      <c r="N149" s="35">
        <f>IF($A154="","",IF(AND($M154=1,$J154&lt;&gt;""),$J154-IF($K154="",0,$K154),""))</f>
        <v/>
      </c>
    </row>
    <row r="150" ht="15" customHeight="1" s="27">
      <c r="A150" s="34" t="n"/>
      <c r="B150" s="26" t="n"/>
      <c r="C150" s="26" t="n"/>
      <c r="D150" s="26" t="n"/>
      <c r="E150" s="26" t="n"/>
      <c r="F150" s="26" t="n"/>
      <c r="G150" s="35" t="n"/>
      <c r="H150" s="26" t="n"/>
      <c r="I150" s="34" t="n"/>
      <c r="J150" s="35">
        <f>IF($G155="","",$G155*0.15)</f>
        <v/>
      </c>
      <c r="K150" s="35" t="n"/>
      <c r="L150" s="26" t="n"/>
      <c r="M150" s="36">
        <f>IF($A155="","",IF(OR($H155="delivered",$H155="invoiced",$H155="paid"),1,0))</f>
        <v/>
      </c>
      <c r="N150" s="35">
        <f>IF($A155="","",IF(AND($M155=1,$J155&lt;&gt;""),$J155-IF($K155="",0,$K155),""))</f>
        <v/>
      </c>
    </row>
    <row r="151" ht="15" customHeight="1" s="27">
      <c r="A151" s="34" t="n"/>
      <c r="B151" s="26" t="n"/>
      <c r="C151" s="26" t="n"/>
      <c r="D151" s="26" t="n"/>
      <c r="E151" s="26" t="n"/>
      <c r="F151" s="26" t="n"/>
      <c r="G151" s="35" t="n"/>
      <c r="H151" s="26" t="n"/>
      <c r="I151" s="34" t="n"/>
      <c r="J151" s="35">
        <f>IF($G156="","",$G156*0.15)</f>
        <v/>
      </c>
      <c r="K151" s="35" t="n"/>
      <c r="L151" s="26" t="n"/>
      <c r="M151" s="36">
        <f>IF($A156="","",IF(OR($H156="delivered",$H156="invoiced",$H156="paid"),1,0))</f>
        <v/>
      </c>
      <c r="N151" s="35">
        <f>IF($A156="","",IF(AND($M156=1,$J156&lt;&gt;""),$J156-IF($K156="",0,$K156),""))</f>
        <v/>
      </c>
    </row>
    <row r="152" ht="15" customHeight="1" s="27">
      <c r="A152" s="34" t="n"/>
      <c r="B152" s="26" t="n"/>
      <c r="C152" s="26" t="n"/>
      <c r="D152" s="26" t="n"/>
      <c r="E152" s="26" t="n"/>
      <c r="F152" s="26" t="n"/>
      <c r="G152" s="35" t="n"/>
      <c r="H152" s="26" t="n"/>
      <c r="I152" s="34" t="n"/>
      <c r="J152" s="35">
        <f>IF($G157="","",$G157*0.15)</f>
        <v/>
      </c>
      <c r="K152" s="35" t="n"/>
      <c r="L152" s="26" t="n"/>
      <c r="M152" s="36">
        <f>IF($A157="","",IF(OR($H157="delivered",$H157="invoiced",$H157="paid"),1,0))</f>
        <v/>
      </c>
      <c r="N152" s="35">
        <f>IF($A157="","",IF(AND($M157=1,$J157&lt;&gt;""),$J157-IF($K157="",0,$K157),""))</f>
        <v/>
      </c>
    </row>
    <row r="153" ht="15" customHeight="1" s="27">
      <c r="A153" s="34" t="n"/>
      <c r="B153" s="26" t="n"/>
      <c r="C153" s="26" t="n"/>
      <c r="D153" s="26" t="n"/>
      <c r="E153" s="26" t="n"/>
      <c r="F153" s="26" t="n"/>
      <c r="G153" s="35" t="n"/>
      <c r="H153" s="26" t="n"/>
      <c r="I153" s="34" t="n"/>
      <c r="J153" s="35">
        <f>IF($G158="","",$G158*0.15)</f>
        <v/>
      </c>
      <c r="K153" s="35" t="n"/>
      <c r="L153" s="26" t="n"/>
      <c r="M153" s="36">
        <f>IF($A158="","",IF(OR($H158="delivered",$H158="invoiced",$H158="paid"),1,0))</f>
        <v/>
      </c>
      <c r="N153" s="35">
        <f>IF($A158="","",IF(AND($M158=1,$J158&lt;&gt;""),$J158-IF($K158="",0,$K158),""))</f>
        <v/>
      </c>
    </row>
    <row r="154" ht="15" customHeight="1" s="27">
      <c r="A154" s="34" t="n"/>
      <c r="B154" s="26" t="n"/>
      <c r="C154" s="26" t="n"/>
      <c r="D154" s="26" t="n"/>
      <c r="E154" s="26" t="n"/>
      <c r="F154" s="26" t="n"/>
      <c r="G154" s="35" t="n"/>
      <c r="H154" s="26" t="n"/>
      <c r="I154" s="34" t="n"/>
      <c r="J154" s="35">
        <f>IF($G159="","",$G159*0.15)</f>
        <v/>
      </c>
      <c r="K154" s="35" t="n"/>
      <c r="L154" s="26" t="n"/>
      <c r="M154" s="36">
        <f>IF($A159="","",IF(OR($H159="delivered",$H159="invoiced",$H159="paid"),1,0))</f>
        <v/>
      </c>
      <c r="N154" s="35">
        <f>IF($A159="","",IF(AND($M159=1,$J159&lt;&gt;""),$J159-IF($K159="",0,$K159),""))</f>
        <v/>
      </c>
    </row>
    <row r="155" ht="15" customHeight="1" s="27">
      <c r="A155" s="34" t="n"/>
      <c r="B155" s="26" t="n"/>
      <c r="C155" s="26" t="n"/>
      <c r="D155" s="26" t="n"/>
      <c r="E155" s="26" t="n"/>
      <c r="F155" s="26" t="n"/>
      <c r="G155" s="35" t="n"/>
      <c r="H155" s="26" t="n"/>
      <c r="I155" s="34" t="n"/>
      <c r="J155" s="35">
        <f>IF($G160="","",$G160*0.15)</f>
        <v/>
      </c>
      <c r="K155" s="35" t="n"/>
      <c r="L155" s="26" t="n"/>
      <c r="M155" s="36">
        <f>IF($A160="","",IF(OR($H160="delivered",$H160="invoiced",$H160="paid"),1,0))</f>
        <v/>
      </c>
      <c r="N155" s="35">
        <f>IF($A160="","",IF(AND($M160=1,$J160&lt;&gt;""),$J160-IF($K160="",0,$K160),""))</f>
        <v/>
      </c>
    </row>
    <row r="156" ht="15" customHeight="1" s="27">
      <c r="A156" s="34" t="n"/>
      <c r="B156" s="26" t="n"/>
      <c r="C156" s="26" t="n"/>
      <c r="D156" s="26" t="n"/>
      <c r="E156" s="26" t="n"/>
      <c r="F156" s="26" t="n"/>
      <c r="G156" s="35" t="n"/>
      <c r="H156" s="26" t="n"/>
      <c r="I156" s="34" t="n"/>
      <c r="J156" s="35">
        <f>IF($G161="","",$G161*0.15)</f>
        <v/>
      </c>
      <c r="K156" s="35" t="n"/>
      <c r="L156" s="26" t="n"/>
      <c r="M156" s="36">
        <f>IF($A161="","",IF(OR($H161="delivered",$H161="invoiced",$H161="paid"),1,0))</f>
        <v/>
      </c>
      <c r="N156" s="35">
        <f>IF($A161="","",IF(AND($M161=1,$J161&lt;&gt;""),$J161-IF($K161="",0,$K161),""))</f>
        <v/>
      </c>
    </row>
    <row r="157" ht="15" customHeight="1" s="27">
      <c r="A157" s="34" t="n"/>
      <c r="B157" s="26" t="n"/>
      <c r="C157" s="26" t="n"/>
      <c r="D157" s="26" t="n"/>
      <c r="E157" s="26" t="n"/>
      <c r="F157" s="26" t="n"/>
      <c r="G157" s="35" t="n"/>
      <c r="H157" s="26" t="n"/>
      <c r="I157" s="34" t="n"/>
      <c r="J157" s="35">
        <f>IF($G162="","",$G162*0.15)</f>
        <v/>
      </c>
      <c r="K157" s="35" t="n"/>
      <c r="L157" s="26" t="n"/>
      <c r="M157" s="36">
        <f>IF($A162="","",IF(OR($H162="delivered",$H162="invoiced",$H162="paid"),1,0))</f>
        <v/>
      </c>
      <c r="N157" s="35">
        <f>IF($A162="","",IF(AND($M162=1,$J162&lt;&gt;""),$J162-IF($K162="",0,$K162),""))</f>
        <v/>
      </c>
    </row>
    <row r="158" ht="15" customHeight="1" s="27">
      <c r="A158" s="34" t="n"/>
      <c r="B158" s="26" t="n"/>
      <c r="C158" s="26" t="n"/>
      <c r="D158" s="26" t="n"/>
      <c r="E158" s="26" t="n"/>
      <c r="F158" s="26" t="n"/>
      <c r="G158" s="35" t="n"/>
      <c r="H158" s="26" t="n"/>
      <c r="I158" s="34" t="n"/>
      <c r="J158" s="35">
        <f>IF($G163="","",$G163*0.15)</f>
        <v/>
      </c>
      <c r="K158" s="35" t="n"/>
      <c r="L158" s="26" t="n"/>
      <c r="M158" s="36">
        <f>IF($A163="","",IF(OR($H163="delivered",$H163="invoiced",$H163="paid"),1,0))</f>
        <v/>
      </c>
      <c r="N158" s="35">
        <f>IF($A163="","",IF(AND($M163=1,$J163&lt;&gt;""),$J163-IF($K163="",0,$K163),""))</f>
        <v/>
      </c>
    </row>
    <row r="159" ht="15" customHeight="1" s="27">
      <c r="A159" s="34" t="n"/>
      <c r="B159" s="26" t="n"/>
      <c r="C159" s="26" t="n"/>
      <c r="D159" s="26" t="n"/>
      <c r="E159" s="26" t="n"/>
      <c r="F159" s="26" t="n"/>
      <c r="G159" s="35" t="n"/>
      <c r="H159" s="26" t="n"/>
      <c r="I159" s="34" t="n"/>
      <c r="J159" s="35">
        <f>IF($G164="","",$G164*0.15)</f>
        <v/>
      </c>
      <c r="K159" s="35" t="n"/>
      <c r="L159" s="26" t="n"/>
      <c r="M159" s="36">
        <f>IF($A164="","",IF(OR($H164="delivered",$H164="invoiced",$H164="paid"),1,0))</f>
        <v/>
      </c>
      <c r="N159" s="35">
        <f>IF($A164="","",IF(AND($M164=1,$J164&lt;&gt;""),$J164-IF($K164="",0,$K164),""))</f>
        <v/>
      </c>
    </row>
    <row r="160" ht="15" customHeight="1" s="27">
      <c r="A160" s="34" t="n"/>
      <c r="B160" s="26" t="n"/>
      <c r="C160" s="26" t="n"/>
      <c r="D160" s="26" t="n"/>
      <c r="E160" s="26" t="n"/>
      <c r="F160" s="26" t="n"/>
      <c r="G160" s="35" t="n"/>
      <c r="H160" s="26" t="n"/>
      <c r="I160" s="34" t="n"/>
      <c r="J160" s="35">
        <f>IF($G165="","",$G165*0.15)</f>
        <v/>
      </c>
      <c r="K160" s="35" t="n"/>
      <c r="L160" s="26" t="n"/>
      <c r="M160" s="36">
        <f>IF($A165="","",IF(OR($H165="delivered",$H165="invoiced",$H165="paid"),1,0))</f>
        <v/>
      </c>
      <c r="N160" s="35">
        <f>IF($A165="","",IF(AND($M165=1,$J165&lt;&gt;""),$J165-IF($K165="",0,$K165),""))</f>
        <v/>
      </c>
    </row>
    <row r="161" ht="15" customHeight="1" s="27">
      <c r="A161" s="34" t="n"/>
      <c r="B161" s="26" t="n"/>
      <c r="C161" s="26" t="n"/>
      <c r="D161" s="26" t="n"/>
      <c r="E161" s="26" t="n"/>
      <c r="F161" s="26" t="n"/>
      <c r="G161" s="35" t="n"/>
      <c r="H161" s="26" t="n"/>
      <c r="I161" s="34" t="n"/>
      <c r="J161" s="35">
        <f>IF($G166="","",$G166*0.15)</f>
        <v/>
      </c>
      <c r="K161" s="35" t="n"/>
      <c r="L161" s="26" t="n"/>
      <c r="M161" s="36">
        <f>IF($A166="","",IF(OR($H166="delivered",$H166="invoiced",$H166="paid"),1,0))</f>
        <v/>
      </c>
      <c r="N161" s="35">
        <f>IF($A166="","",IF(AND($M166=1,$J166&lt;&gt;""),$J166-IF($K166="",0,$K166),""))</f>
        <v/>
      </c>
    </row>
    <row r="162" ht="15" customHeight="1" s="27">
      <c r="A162" s="34" t="n"/>
      <c r="B162" s="26" t="n"/>
      <c r="C162" s="26" t="n"/>
      <c r="D162" s="26" t="n"/>
      <c r="E162" s="26" t="n"/>
      <c r="F162" s="26" t="n"/>
      <c r="G162" s="35" t="n"/>
      <c r="H162" s="26" t="n"/>
      <c r="I162" s="34" t="n"/>
      <c r="J162" s="35">
        <f>IF($G167="","",$G167*0.15)</f>
        <v/>
      </c>
      <c r="K162" s="35" t="n"/>
      <c r="L162" s="26" t="n"/>
      <c r="M162" s="36">
        <f>IF($A167="","",IF(OR($H167="delivered",$H167="invoiced",$H167="paid"),1,0))</f>
        <v/>
      </c>
      <c r="N162" s="35">
        <f>IF($A167="","",IF(AND($M167=1,$J167&lt;&gt;""),$J167-IF($K167="",0,$K167),""))</f>
        <v/>
      </c>
    </row>
    <row r="163" ht="15" customHeight="1" s="27">
      <c r="A163" s="34" t="n"/>
      <c r="B163" s="26" t="n"/>
      <c r="C163" s="26" t="n"/>
      <c r="D163" s="26" t="n"/>
      <c r="E163" s="26" t="n"/>
      <c r="F163" s="26" t="n"/>
      <c r="G163" s="35" t="n"/>
      <c r="H163" s="26" t="n"/>
      <c r="I163" s="34" t="n"/>
      <c r="J163" s="35">
        <f>IF($G168="","",$G168*0.15)</f>
        <v/>
      </c>
      <c r="K163" s="35" t="n"/>
      <c r="L163" s="26" t="n"/>
      <c r="M163" s="36">
        <f>IF($A168="","",IF(OR($H168="delivered",$H168="invoiced",$H168="paid"),1,0))</f>
        <v/>
      </c>
      <c r="N163" s="35">
        <f>IF($A168="","",IF(AND($M168=1,$J168&lt;&gt;""),$J168-IF($K168="",0,$K168),""))</f>
        <v/>
      </c>
    </row>
    <row r="164" ht="15" customHeight="1" s="27">
      <c r="A164" s="34" t="n"/>
      <c r="B164" s="26" t="n"/>
      <c r="C164" s="26" t="n"/>
      <c r="D164" s="26" t="n"/>
      <c r="E164" s="26" t="n"/>
      <c r="F164" s="26" t="n"/>
      <c r="G164" s="35" t="n"/>
      <c r="H164" s="26" t="n"/>
      <c r="I164" s="34" t="n"/>
      <c r="J164" s="35">
        <f>IF($G169="","",$G169*0.15)</f>
        <v/>
      </c>
      <c r="K164" s="35" t="n"/>
      <c r="L164" s="26" t="n"/>
      <c r="M164" s="36">
        <f>IF($A169="","",IF(OR($H169="delivered",$H169="invoiced",$H169="paid"),1,0))</f>
        <v/>
      </c>
      <c r="N164" s="35">
        <f>IF($A169="","",IF(AND($M169=1,$J169&lt;&gt;""),$J169-IF($K169="",0,$K169),""))</f>
        <v/>
      </c>
    </row>
    <row r="165" ht="15" customHeight="1" s="27">
      <c r="A165" s="34" t="n"/>
      <c r="B165" s="26" t="n"/>
      <c r="C165" s="26" t="n"/>
      <c r="D165" s="26" t="n"/>
      <c r="E165" s="26" t="n"/>
      <c r="F165" s="26" t="n"/>
      <c r="G165" s="35" t="n"/>
      <c r="H165" s="26" t="n"/>
      <c r="I165" s="34" t="n"/>
      <c r="J165" s="35">
        <f>IF($G170="","",$G170*0.15)</f>
        <v/>
      </c>
      <c r="K165" s="35" t="n"/>
      <c r="L165" s="26" t="n"/>
      <c r="M165" s="36">
        <f>IF($A170="","",IF(OR($H170="delivered",$H170="invoiced",$H170="paid"),1,0))</f>
        <v/>
      </c>
      <c r="N165" s="35">
        <f>IF($A170="","",IF(AND($M170=1,$J170&lt;&gt;""),$J170-IF($K170="",0,$K170),""))</f>
        <v/>
      </c>
    </row>
    <row r="166" ht="15" customHeight="1" s="27">
      <c r="A166" s="34" t="n"/>
      <c r="B166" s="26" t="n"/>
      <c r="C166" s="26" t="n"/>
      <c r="D166" s="26" t="n"/>
      <c r="E166" s="26" t="n"/>
      <c r="F166" s="26" t="n"/>
      <c r="G166" s="35" t="n"/>
      <c r="H166" s="26" t="n"/>
      <c r="I166" s="34" t="n"/>
      <c r="J166" s="35">
        <f>IF($G171="","",$G171*0.15)</f>
        <v/>
      </c>
      <c r="K166" s="35" t="n"/>
      <c r="L166" s="26" t="n"/>
      <c r="M166" s="36">
        <f>IF($A171="","",IF(OR($H171="delivered",$H171="invoiced",$H171="paid"),1,0))</f>
        <v/>
      </c>
      <c r="N166" s="35">
        <f>IF($A171="","",IF(AND($M171=1,$J171&lt;&gt;""),$J171-IF($K171="",0,$K171),""))</f>
        <v/>
      </c>
    </row>
    <row r="167" ht="15" customHeight="1" s="27">
      <c r="A167" s="34" t="n"/>
      <c r="B167" s="26" t="n"/>
      <c r="C167" s="26" t="n"/>
      <c r="D167" s="26" t="n"/>
      <c r="E167" s="26" t="n"/>
      <c r="F167" s="26" t="n"/>
      <c r="G167" s="35" t="n"/>
      <c r="H167" s="26" t="n"/>
      <c r="I167" s="34" t="n"/>
      <c r="J167" s="35">
        <f>IF($G172="","",$G172*0.15)</f>
        <v/>
      </c>
      <c r="K167" s="35" t="n"/>
      <c r="L167" s="26" t="n"/>
      <c r="M167" s="36">
        <f>IF($A172="","",IF(OR($H172="delivered",$H172="invoiced",$H172="paid"),1,0))</f>
        <v/>
      </c>
      <c r="N167" s="35">
        <f>IF($A172="","",IF(AND($M172=1,$J172&lt;&gt;""),$J172-IF($K172="",0,$K172),""))</f>
        <v/>
      </c>
    </row>
    <row r="168" ht="15" customHeight="1" s="27">
      <c r="A168" s="34" t="n"/>
      <c r="B168" s="26" t="n"/>
      <c r="C168" s="26" t="n"/>
      <c r="D168" s="26" t="n"/>
      <c r="E168" s="26" t="n"/>
      <c r="F168" s="26" t="n"/>
      <c r="G168" s="35" t="n"/>
      <c r="H168" s="26" t="n"/>
      <c r="I168" s="34" t="n"/>
      <c r="J168" s="35">
        <f>IF($G173="","",$G173*0.15)</f>
        <v/>
      </c>
      <c r="K168" s="35" t="n"/>
      <c r="L168" s="26" t="n"/>
      <c r="M168" s="36">
        <f>IF($A173="","",IF(OR($H173="delivered",$H173="invoiced",$H173="paid"),1,0))</f>
        <v/>
      </c>
      <c r="N168" s="35">
        <f>IF($A173="","",IF(AND($M173=1,$J173&lt;&gt;""),$J173-IF($K173="",0,$K173),""))</f>
        <v/>
      </c>
    </row>
    <row r="169" ht="15" customHeight="1" s="27">
      <c r="A169" s="34" t="n"/>
      <c r="B169" s="26" t="n"/>
      <c r="C169" s="26" t="n"/>
      <c r="D169" s="26" t="n"/>
      <c r="E169" s="26" t="n"/>
      <c r="F169" s="26" t="n"/>
      <c r="G169" s="35" t="n"/>
      <c r="H169" s="26" t="n"/>
      <c r="I169" s="34" t="n"/>
      <c r="J169" s="35">
        <f>IF($G174="","",$G174*0.15)</f>
        <v/>
      </c>
      <c r="K169" s="35" t="n"/>
      <c r="L169" s="26" t="n"/>
      <c r="M169" s="36">
        <f>IF($A174="","",IF(OR($H174="delivered",$H174="invoiced",$H174="paid"),1,0))</f>
        <v/>
      </c>
      <c r="N169" s="35">
        <f>IF($A174="","",IF(AND($M174=1,$J174&lt;&gt;""),$J174-IF($K174="",0,$K174),""))</f>
        <v/>
      </c>
    </row>
    <row r="170" ht="15" customHeight="1" s="27">
      <c r="A170" s="34" t="n"/>
      <c r="B170" s="26" t="n"/>
      <c r="C170" s="26" t="n"/>
      <c r="D170" s="26" t="n"/>
      <c r="E170" s="26" t="n"/>
      <c r="F170" s="26" t="n"/>
      <c r="G170" s="35" t="n"/>
      <c r="H170" s="26" t="n"/>
      <c r="I170" s="34" t="n"/>
      <c r="J170" s="35">
        <f>IF($G175="","",$G175*0.15)</f>
        <v/>
      </c>
      <c r="K170" s="35" t="n"/>
      <c r="L170" s="26" t="n"/>
      <c r="M170" s="36">
        <f>IF($A175="","",IF(OR($H175="delivered",$H175="invoiced",$H175="paid"),1,0))</f>
        <v/>
      </c>
      <c r="N170" s="35">
        <f>IF($A175="","",IF(AND($M175=1,$J175&lt;&gt;""),$J175-IF($K175="",0,$K175),""))</f>
        <v/>
      </c>
    </row>
    <row r="171" ht="15" customHeight="1" s="27">
      <c r="A171" s="34" t="n"/>
      <c r="B171" s="26" t="n"/>
      <c r="C171" s="26" t="n"/>
      <c r="D171" s="26" t="n"/>
      <c r="E171" s="26" t="n"/>
      <c r="F171" s="26" t="n"/>
      <c r="G171" s="35" t="n"/>
      <c r="H171" s="26" t="n"/>
      <c r="I171" s="34" t="n"/>
      <c r="J171" s="35">
        <f>IF($G176="","",$G176*0.15)</f>
        <v/>
      </c>
      <c r="K171" s="35" t="n"/>
      <c r="L171" s="26" t="n"/>
      <c r="M171" s="36">
        <f>IF($A176="","",IF(OR($H176="delivered",$H176="invoiced",$H176="paid"),1,0))</f>
        <v/>
      </c>
      <c r="N171" s="35">
        <f>IF($A176="","",IF(AND($M176=1,$J176&lt;&gt;""),$J176-IF($K176="",0,$K176),""))</f>
        <v/>
      </c>
    </row>
    <row r="172" ht="15" customHeight="1" s="27">
      <c r="A172" s="34" t="n"/>
      <c r="B172" s="26" t="n"/>
      <c r="C172" s="26" t="n"/>
      <c r="D172" s="26" t="n"/>
      <c r="E172" s="26" t="n"/>
      <c r="F172" s="26" t="n"/>
      <c r="G172" s="35" t="n"/>
      <c r="H172" s="26" t="n"/>
      <c r="I172" s="34" t="n"/>
      <c r="J172" s="35">
        <f>IF($G177="","",$G177*0.15)</f>
        <v/>
      </c>
      <c r="K172" s="35" t="n"/>
      <c r="L172" s="26" t="n"/>
      <c r="M172" s="36">
        <f>IF($A177="","",IF(OR($H177="delivered",$H177="invoiced",$H177="paid"),1,0))</f>
        <v/>
      </c>
      <c r="N172" s="35">
        <f>IF($A177="","",IF(AND($M177=1,$J177&lt;&gt;""),$J177-IF($K177="",0,$K177),""))</f>
        <v/>
      </c>
    </row>
    <row r="173" ht="15" customHeight="1" s="27">
      <c r="A173" s="34" t="n"/>
      <c r="B173" s="26" t="n"/>
      <c r="C173" s="26" t="n"/>
      <c r="D173" s="26" t="n"/>
      <c r="E173" s="26" t="n"/>
      <c r="F173" s="26" t="n"/>
      <c r="G173" s="35" t="n"/>
      <c r="H173" s="26" t="n"/>
      <c r="I173" s="34" t="n"/>
      <c r="J173" s="35">
        <f>IF($G178="","",$G178*0.15)</f>
        <v/>
      </c>
      <c r="K173" s="35" t="n"/>
      <c r="L173" s="26" t="n"/>
      <c r="M173" s="36">
        <f>IF($A178="","",IF(OR($H178="delivered",$H178="invoiced",$H178="paid"),1,0))</f>
        <v/>
      </c>
      <c r="N173" s="35">
        <f>IF($A178="","",IF(AND($M178=1,$J178&lt;&gt;""),$J178-IF($K178="",0,$K178),""))</f>
        <v/>
      </c>
    </row>
    <row r="174" ht="15" customHeight="1" s="27">
      <c r="A174" s="34" t="n"/>
      <c r="B174" s="26" t="n"/>
      <c r="C174" s="26" t="n"/>
      <c r="D174" s="26" t="n"/>
      <c r="E174" s="26" t="n"/>
      <c r="F174" s="26" t="n"/>
      <c r="G174" s="35" t="n"/>
      <c r="H174" s="26" t="n"/>
      <c r="I174" s="34" t="n"/>
      <c r="J174" s="35">
        <f>IF($G179="","",$G179*0.15)</f>
        <v/>
      </c>
      <c r="K174" s="35" t="n"/>
      <c r="L174" s="26" t="n"/>
      <c r="M174" s="36">
        <f>IF($A179="","",IF(OR($H179="delivered",$H179="invoiced",$H179="paid"),1,0))</f>
        <v/>
      </c>
      <c r="N174" s="35">
        <f>IF($A179="","",IF(AND($M179=1,$J179&lt;&gt;""),$J179-IF($K179="",0,$K179),""))</f>
        <v/>
      </c>
    </row>
    <row r="175" ht="15" customHeight="1" s="27">
      <c r="A175" s="34" t="n"/>
      <c r="B175" s="26" t="n"/>
      <c r="C175" s="26" t="n"/>
      <c r="D175" s="26" t="n"/>
      <c r="E175" s="26" t="n"/>
      <c r="F175" s="26" t="n"/>
      <c r="G175" s="35" t="n"/>
      <c r="H175" s="26" t="n"/>
      <c r="I175" s="34" t="n"/>
      <c r="J175" s="35">
        <f>IF($G180="","",$G180*0.15)</f>
        <v/>
      </c>
      <c r="K175" s="35" t="n"/>
      <c r="L175" s="26" t="n"/>
      <c r="M175" s="36">
        <f>IF($A180="","",IF(OR($H180="delivered",$H180="invoiced",$H180="paid"),1,0))</f>
        <v/>
      </c>
      <c r="N175" s="35">
        <f>IF($A180="","",IF(AND($M180=1,$J180&lt;&gt;""),$J180-IF($K180="",0,$K180),""))</f>
        <v/>
      </c>
    </row>
    <row r="176" ht="15" customHeight="1" s="27">
      <c r="A176" s="34" t="n"/>
      <c r="B176" s="26" t="n"/>
      <c r="C176" s="26" t="n"/>
      <c r="D176" s="26" t="n"/>
      <c r="E176" s="26" t="n"/>
      <c r="F176" s="26" t="n"/>
      <c r="G176" s="35" t="n"/>
      <c r="H176" s="26" t="n"/>
      <c r="I176" s="34" t="n"/>
      <c r="J176" s="35">
        <f>IF($G181="","",$G181*0.15)</f>
        <v/>
      </c>
      <c r="K176" s="35" t="n"/>
      <c r="L176" s="26" t="n"/>
      <c r="M176" s="36">
        <f>IF($A181="","",IF(OR($H181="delivered",$H181="invoiced",$H181="paid"),1,0))</f>
        <v/>
      </c>
      <c r="N176" s="35">
        <f>IF($A181="","",IF(AND($M181=1,$J181&lt;&gt;""),$J181-IF($K181="",0,$K181),""))</f>
        <v/>
      </c>
    </row>
    <row r="177" ht="15" customHeight="1" s="27">
      <c r="A177" s="34" t="n"/>
      <c r="B177" s="26" t="n"/>
      <c r="C177" s="26" t="n"/>
      <c r="D177" s="26" t="n"/>
      <c r="E177" s="26" t="n"/>
      <c r="F177" s="26" t="n"/>
      <c r="G177" s="35" t="n"/>
      <c r="H177" s="26" t="n"/>
      <c r="I177" s="34" t="n"/>
      <c r="J177" s="35">
        <f>IF($G182="","",$G182*0.15)</f>
        <v/>
      </c>
      <c r="K177" s="35" t="n"/>
      <c r="L177" s="26" t="n"/>
      <c r="M177" s="36">
        <f>IF($A182="","",IF(OR($H182="delivered",$H182="invoiced",$H182="paid"),1,0))</f>
        <v/>
      </c>
      <c r="N177" s="35">
        <f>IF($A182="","",IF(AND($M182=1,$J182&lt;&gt;""),$J182-IF($K182="",0,$K182),""))</f>
        <v/>
      </c>
    </row>
    <row r="178" ht="15" customHeight="1" s="27">
      <c r="A178" s="34" t="n"/>
      <c r="B178" s="26" t="n"/>
      <c r="C178" s="26" t="n"/>
      <c r="D178" s="26" t="n"/>
      <c r="E178" s="26" t="n"/>
      <c r="F178" s="26" t="n"/>
      <c r="G178" s="35" t="n"/>
      <c r="H178" s="26" t="n"/>
      <c r="I178" s="34" t="n"/>
      <c r="J178" s="35">
        <f>IF($G183="","",$G183*0.15)</f>
        <v/>
      </c>
      <c r="K178" s="35" t="n"/>
      <c r="L178" s="26" t="n"/>
      <c r="M178" s="36">
        <f>IF($A183="","",IF(OR($H183="delivered",$H183="invoiced",$H183="paid"),1,0))</f>
        <v/>
      </c>
      <c r="N178" s="35">
        <f>IF($A183="","",IF(AND($M183=1,$J183&lt;&gt;""),$J183-IF($K183="",0,$K183),""))</f>
        <v/>
      </c>
    </row>
    <row r="179" ht="15" customHeight="1" s="27">
      <c r="A179" s="34" t="n"/>
      <c r="B179" s="26" t="n"/>
      <c r="C179" s="26" t="n"/>
      <c r="D179" s="26" t="n"/>
      <c r="E179" s="26" t="n"/>
      <c r="F179" s="26" t="n"/>
      <c r="G179" s="35" t="n"/>
      <c r="H179" s="26" t="n"/>
      <c r="I179" s="34" t="n"/>
      <c r="J179" s="35">
        <f>IF($G184="","",$G184*0.15)</f>
        <v/>
      </c>
      <c r="K179" s="35" t="n"/>
      <c r="L179" s="26" t="n"/>
      <c r="M179" s="36">
        <f>IF($A184="","",IF(OR($H184="delivered",$H184="invoiced",$H184="paid"),1,0))</f>
        <v/>
      </c>
      <c r="N179" s="35">
        <f>IF($A184="","",IF(AND($M184=1,$J184&lt;&gt;""),$J184-IF($K184="",0,$K184),""))</f>
        <v/>
      </c>
    </row>
    <row r="180" ht="15" customHeight="1" s="27">
      <c r="A180" s="34" t="n"/>
      <c r="B180" s="26" t="n"/>
      <c r="C180" s="26" t="n"/>
      <c r="D180" s="26" t="n"/>
      <c r="E180" s="26" t="n"/>
      <c r="F180" s="26" t="n"/>
      <c r="G180" s="35" t="n"/>
      <c r="H180" s="26" t="n"/>
      <c r="I180" s="34" t="n"/>
      <c r="J180" s="35">
        <f>IF($G185="","",$G185*0.15)</f>
        <v/>
      </c>
      <c r="K180" s="35" t="n"/>
      <c r="L180" s="26" t="n"/>
      <c r="M180" s="36">
        <f>IF($A185="","",IF(OR($H185="delivered",$H185="invoiced",$H185="paid"),1,0))</f>
        <v/>
      </c>
      <c r="N180" s="35">
        <f>IF($A185="","",IF(AND($M185=1,$J185&lt;&gt;""),$J185-IF($K185="",0,$K185),""))</f>
        <v/>
      </c>
    </row>
    <row r="181" ht="15" customHeight="1" s="27">
      <c r="A181" s="34" t="n"/>
      <c r="B181" s="26" t="n"/>
      <c r="C181" s="26" t="n"/>
      <c r="D181" s="26" t="n"/>
      <c r="E181" s="26" t="n"/>
      <c r="F181" s="26" t="n"/>
      <c r="G181" s="35" t="n"/>
      <c r="H181" s="26" t="n"/>
      <c r="I181" s="34" t="n"/>
      <c r="J181" s="35">
        <f>IF($G186="","",$G186*0.15)</f>
        <v/>
      </c>
      <c r="K181" s="35" t="n"/>
      <c r="L181" s="26" t="n"/>
      <c r="M181" s="36">
        <f>IF($A186="","",IF(OR($H186="delivered",$H186="invoiced",$H186="paid"),1,0))</f>
        <v/>
      </c>
      <c r="N181" s="35">
        <f>IF($A186="","",IF(AND($M186=1,$J186&lt;&gt;""),$J186-IF($K186="",0,$K186),""))</f>
        <v/>
      </c>
    </row>
    <row r="182" ht="15" customHeight="1" s="27">
      <c r="A182" s="34" t="n"/>
      <c r="B182" s="26" t="n"/>
      <c r="C182" s="26" t="n"/>
      <c r="D182" s="26" t="n"/>
      <c r="E182" s="26" t="n"/>
      <c r="F182" s="26" t="n"/>
      <c r="G182" s="35" t="n"/>
      <c r="H182" s="26" t="n"/>
      <c r="I182" s="34" t="n"/>
      <c r="J182" s="35">
        <f>IF($G187="","",$G187*0.15)</f>
        <v/>
      </c>
      <c r="K182" s="35" t="n"/>
      <c r="L182" s="26" t="n"/>
      <c r="M182" s="36">
        <f>IF($A187="","",IF(OR($H187="delivered",$H187="invoiced",$H187="paid"),1,0))</f>
        <v/>
      </c>
      <c r="N182" s="35">
        <f>IF($A187="","",IF(AND($M187=1,$J187&lt;&gt;""),$J187-IF($K187="",0,$K187),""))</f>
        <v/>
      </c>
    </row>
    <row r="183" ht="15" customHeight="1" s="27">
      <c r="A183" s="34" t="n"/>
      <c r="B183" s="26" t="n"/>
      <c r="C183" s="26" t="n"/>
      <c r="D183" s="26" t="n"/>
      <c r="E183" s="26" t="n"/>
      <c r="F183" s="26" t="n"/>
      <c r="G183" s="35" t="n"/>
      <c r="H183" s="26" t="n"/>
      <c r="I183" s="34" t="n"/>
      <c r="J183" s="35">
        <f>IF($G188="","",$G188*0.15)</f>
        <v/>
      </c>
      <c r="K183" s="35" t="n"/>
      <c r="L183" s="26" t="n"/>
      <c r="M183" s="36">
        <f>IF($A188="","",IF(OR($H188="delivered",$H188="invoiced",$H188="paid"),1,0))</f>
        <v/>
      </c>
      <c r="N183" s="35">
        <f>IF($A188="","",IF(AND($M188=1,$J188&lt;&gt;""),$J188-IF($K188="",0,$K188),""))</f>
        <v/>
      </c>
    </row>
    <row r="184" ht="15" customHeight="1" s="27">
      <c r="A184" s="34" t="n"/>
      <c r="B184" s="26" t="n"/>
      <c r="C184" s="26" t="n"/>
      <c r="D184" s="26" t="n"/>
      <c r="E184" s="26" t="n"/>
      <c r="F184" s="26" t="n"/>
      <c r="G184" s="35" t="n"/>
      <c r="H184" s="26" t="n"/>
      <c r="I184" s="34" t="n"/>
      <c r="J184" s="35">
        <f>IF($G189="","",$G189*0.15)</f>
        <v/>
      </c>
      <c r="K184" s="35" t="n"/>
      <c r="L184" s="26" t="n"/>
      <c r="M184" s="36">
        <f>IF($A189="","",IF(OR($H189="delivered",$H189="invoiced",$H189="paid"),1,0))</f>
        <v/>
      </c>
      <c r="N184" s="35">
        <f>IF($A189="","",IF(AND($M189=1,$J189&lt;&gt;""),$J189-IF($K189="",0,$K189),""))</f>
        <v/>
      </c>
    </row>
    <row r="185" ht="15" customHeight="1" s="27">
      <c r="A185" s="34" t="n"/>
      <c r="B185" s="26" t="n"/>
      <c r="C185" s="26" t="n"/>
      <c r="D185" s="26" t="n"/>
      <c r="E185" s="26" t="n"/>
      <c r="F185" s="26" t="n"/>
      <c r="G185" s="35" t="n"/>
      <c r="H185" s="26" t="n"/>
      <c r="I185" s="34" t="n"/>
      <c r="J185" s="35">
        <f>IF($G190="","",$G190*0.15)</f>
        <v/>
      </c>
      <c r="K185" s="35" t="n"/>
      <c r="L185" s="26" t="n"/>
      <c r="M185" s="36">
        <f>IF($A190="","",IF(OR($H190="delivered",$H190="invoiced",$H190="paid"),1,0))</f>
        <v/>
      </c>
      <c r="N185" s="35">
        <f>IF($A190="","",IF(AND($M190=1,$J190&lt;&gt;""),$J190-IF($K190="",0,$K190),""))</f>
        <v/>
      </c>
    </row>
    <row r="186" ht="15" customHeight="1" s="27">
      <c r="A186" s="34" t="n"/>
      <c r="B186" s="26" t="n"/>
      <c r="C186" s="26" t="n"/>
      <c r="D186" s="26" t="n"/>
      <c r="E186" s="26" t="n"/>
      <c r="F186" s="26" t="n"/>
      <c r="G186" s="35" t="n"/>
      <c r="H186" s="26" t="n"/>
      <c r="I186" s="34" t="n"/>
      <c r="J186" s="35">
        <f>IF($G191="","",$G191*0.15)</f>
        <v/>
      </c>
      <c r="K186" s="35" t="n"/>
      <c r="L186" s="26" t="n"/>
      <c r="M186" s="36">
        <f>IF($A191="","",IF(OR($H191="delivered",$H191="invoiced",$H191="paid"),1,0))</f>
        <v/>
      </c>
      <c r="N186" s="35">
        <f>IF($A191="","",IF(AND($M191=1,$J191&lt;&gt;""),$J191-IF($K191="",0,$K191),""))</f>
        <v/>
      </c>
    </row>
    <row r="187" ht="15" customHeight="1" s="27">
      <c r="A187" s="34" t="n"/>
      <c r="B187" s="26" t="n"/>
      <c r="C187" s="26" t="n"/>
      <c r="D187" s="26" t="n"/>
      <c r="E187" s="26" t="n"/>
      <c r="F187" s="26" t="n"/>
      <c r="G187" s="35" t="n"/>
      <c r="H187" s="26" t="n"/>
      <c r="I187" s="34" t="n"/>
      <c r="J187" s="35">
        <f>IF($G192="","",$G192*0.15)</f>
        <v/>
      </c>
      <c r="K187" s="35" t="n"/>
      <c r="L187" s="26" t="n"/>
      <c r="M187" s="36">
        <f>IF($A192="","",IF(OR($H192="delivered",$H192="invoiced",$H192="paid"),1,0))</f>
        <v/>
      </c>
      <c r="N187" s="35">
        <f>IF($A192="","",IF(AND($M192=1,$J192&lt;&gt;""),$J192-IF($K192="",0,$K192),""))</f>
        <v/>
      </c>
    </row>
    <row r="188" ht="15" customHeight="1" s="27">
      <c r="A188" s="34" t="n"/>
      <c r="B188" s="26" t="n"/>
      <c r="C188" s="26" t="n"/>
      <c r="D188" s="26" t="n"/>
      <c r="E188" s="26" t="n"/>
      <c r="F188" s="26" t="n"/>
      <c r="G188" s="35" t="n"/>
      <c r="H188" s="26" t="n"/>
      <c r="I188" s="34" t="n"/>
      <c r="J188" s="35">
        <f>IF($G193="","",$G193*0.15)</f>
        <v/>
      </c>
      <c r="K188" s="35" t="n"/>
      <c r="L188" s="26" t="n"/>
      <c r="M188" s="36">
        <f>IF($A193="","",IF(OR($H193="delivered",$H193="invoiced",$H193="paid"),1,0))</f>
        <v/>
      </c>
      <c r="N188" s="35">
        <f>IF($A193="","",IF(AND($M193=1,$J193&lt;&gt;""),$J193-IF($K193="",0,$K193),""))</f>
        <v/>
      </c>
    </row>
    <row r="189" ht="15" customHeight="1" s="27">
      <c r="A189" s="34" t="n"/>
      <c r="B189" s="26" t="n"/>
      <c r="C189" s="26" t="n"/>
      <c r="D189" s="26" t="n"/>
      <c r="E189" s="26" t="n"/>
      <c r="F189" s="26" t="n"/>
      <c r="G189" s="35" t="n"/>
      <c r="H189" s="26" t="n"/>
      <c r="I189" s="34" t="n"/>
      <c r="J189" s="35">
        <f>IF($G194="","",$G194*0.15)</f>
        <v/>
      </c>
      <c r="K189" s="35" t="n"/>
      <c r="L189" s="26" t="n"/>
      <c r="M189" s="36">
        <f>IF($A194="","",IF(OR($H194="delivered",$H194="invoiced",$H194="paid"),1,0))</f>
        <v/>
      </c>
      <c r="N189" s="35">
        <f>IF($A194="","",IF(AND($M194=1,$J194&lt;&gt;""),$J194-IF($K194="",0,$K194),""))</f>
        <v/>
      </c>
    </row>
    <row r="190" ht="15" customHeight="1" s="27">
      <c r="A190" s="34" t="n"/>
      <c r="B190" s="26" t="n"/>
      <c r="C190" s="26" t="n"/>
      <c r="D190" s="26" t="n"/>
      <c r="E190" s="26" t="n"/>
      <c r="F190" s="26" t="n"/>
      <c r="G190" s="35" t="n"/>
      <c r="H190" s="26" t="n"/>
      <c r="I190" s="34" t="n"/>
      <c r="J190" s="35">
        <f>IF($G195="","",$G195*0.15)</f>
        <v/>
      </c>
      <c r="K190" s="35" t="n"/>
      <c r="L190" s="26" t="n"/>
      <c r="M190" s="36">
        <f>IF($A195="","",IF(OR($H195="delivered",$H195="invoiced",$H195="paid"),1,0))</f>
        <v/>
      </c>
      <c r="N190" s="35">
        <f>IF($A195="","",IF(AND($M195=1,$J195&lt;&gt;""),$J195-IF($K195="",0,$K195),""))</f>
        <v/>
      </c>
    </row>
    <row r="191" ht="15" customHeight="1" s="27">
      <c r="A191" s="34" t="n"/>
      <c r="B191" s="26" t="n"/>
      <c r="C191" s="26" t="n"/>
      <c r="D191" s="26" t="n"/>
      <c r="E191" s="26" t="n"/>
      <c r="F191" s="26" t="n"/>
      <c r="G191" s="35" t="n"/>
      <c r="H191" s="26" t="n"/>
      <c r="I191" s="34" t="n"/>
      <c r="J191" s="35">
        <f>IF($G196="","",$G196*0.15)</f>
        <v/>
      </c>
      <c r="K191" s="35" t="n"/>
      <c r="L191" s="26" t="n"/>
      <c r="M191" s="36">
        <f>IF($A196="","",IF(OR($H196="delivered",$H196="invoiced",$H196="paid"),1,0))</f>
        <v/>
      </c>
      <c r="N191" s="35">
        <f>IF($A196="","",IF(AND($M196=1,$J196&lt;&gt;""),$J196-IF($K196="",0,$K196),""))</f>
        <v/>
      </c>
    </row>
    <row r="192" ht="15" customHeight="1" s="27">
      <c r="A192" s="34" t="n"/>
      <c r="B192" s="26" t="n"/>
      <c r="C192" s="26" t="n"/>
      <c r="D192" s="26" t="n"/>
      <c r="E192" s="26" t="n"/>
      <c r="F192" s="26" t="n"/>
      <c r="G192" s="35" t="n"/>
      <c r="H192" s="26" t="n"/>
      <c r="I192" s="34" t="n"/>
      <c r="J192" s="35">
        <f>IF($G197="","",$G197*0.15)</f>
        <v/>
      </c>
      <c r="K192" s="35" t="n"/>
      <c r="L192" s="26" t="n"/>
      <c r="M192" s="36">
        <f>IF($A197="","",IF(OR($H197="delivered",$H197="invoiced",$H197="paid"),1,0))</f>
        <v/>
      </c>
      <c r="N192" s="35">
        <f>IF($A197="","",IF(AND($M197=1,$J197&lt;&gt;""),$J197-IF($K197="",0,$K197),""))</f>
        <v/>
      </c>
    </row>
    <row r="193" ht="15" customHeight="1" s="27">
      <c r="A193" s="34" t="n"/>
      <c r="B193" s="26" t="n"/>
      <c r="C193" s="26" t="n"/>
      <c r="D193" s="26" t="n"/>
      <c r="E193" s="26" t="n"/>
      <c r="F193" s="26" t="n"/>
      <c r="G193" s="35" t="n"/>
      <c r="H193" s="26" t="n"/>
      <c r="I193" s="34" t="n"/>
      <c r="J193" s="35">
        <f>IF($G198="","",$G198*0.15)</f>
        <v/>
      </c>
      <c r="K193" s="35" t="n"/>
      <c r="L193" s="26" t="n"/>
      <c r="M193" s="36">
        <f>IF($A198="","",IF(OR($H198="delivered",$H198="invoiced",$H198="paid"),1,0))</f>
        <v/>
      </c>
      <c r="N193" s="35">
        <f>IF($A198="","",IF(AND($M198=1,$J198&lt;&gt;""),$J198-IF($K198="",0,$K198),""))</f>
        <v/>
      </c>
    </row>
    <row r="194" ht="15" customHeight="1" s="27">
      <c r="A194" s="34" t="n"/>
      <c r="B194" s="26" t="n"/>
      <c r="C194" s="26" t="n"/>
      <c r="D194" s="26" t="n"/>
      <c r="E194" s="26" t="n"/>
      <c r="F194" s="26" t="n"/>
      <c r="G194" s="35" t="n"/>
      <c r="H194" s="26" t="n"/>
      <c r="I194" s="34" t="n"/>
      <c r="J194" s="35">
        <f>IF($G199="","",$G199*0.15)</f>
        <v/>
      </c>
      <c r="K194" s="35" t="n"/>
      <c r="L194" s="26" t="n"/>
      <c r="M194" s="36">
        <f>IF($A199="","",IF(OR($H199="delivered",$H199="invoiced",$H199="paid"),1,0))</f>
        <v/>
      </c>
      <c r="N194" s="35">
        <f>IF($A199="","",IF(AND($M199=1,$J199&lt;&gt;""),$J199-IF($K199="",0,$K199),""))</f>
        <v/>
      </c>
    </row>
    <row r="195" ht="15" customHeight="1" s="27">
      <c r="A195" s="34" t="n"/>
      <c r="B195" s="26" t="n"/>
      <c r="C195" s="26" t="n"/>
      <c r="D195" s="26" t="n"/>
      <c r="E195" s="26" t="n"/>
      <c r="F195" s="26" t="n"/>
      <c r="G195" s="35" t="n"/>
      <c r="H195" s="26" t="n"/>
      <c r="I195" s="34" t="n"/>
      <c r="J195" s="35">
        <f>IF($G200="","",$G200*0.15)</f>
        <v/>
      </c>
      <c r="K195" s="35" t="n"/>
      <c r="L195" s="26" t="n"/>
      <c r="M195" s="36">
        <f>IF($A200="","",IF(OR($H200="delivered",$H200="invoiced",$H200="paid"),1,0))</f>
        <v/>
      </c>
      <c r="N195" s="35">
        <f>IF($A200="","",IF(AND($M200=1,$J200&lt;&gt;""),$J200-IF($K200="",0,$K200),""))</f>
        <v/>
      </c>
    </row>
    <row r="196" ht="15" customHeight="1" s="27">
      <c r="A196" s="34" t="n"/>
      <c r="B196" s="26" t="n"/>
      <c r="C196" s="26" t="n"/>
      <c r="D196" s="26" t="n"/>
      <c r="E196" s="26" t="n"/>
      <c r="F196" s="26" t="n"/>
      <c r="G196" s="35" t="n"/>
      <c r="H196" s="26" t="n"/>
      <c r="I196" s="34" t="n"/>
      <c r="J196" s="35">
        <f>IF($G201="","",$G201*0.15)</f>
        <v/>
      </c>
      <c r="K196" s="35" t="n"/>
      <c r="L196" s="26" t="n"/>
      <c r="M196" s="36">
        <f>IF($A201="","",IF(OR($H201="delivered",$H201="invoiced",$H201="paid"),1,0))</f>
        <v/>
      </c>
      <c r="N196" s="35">
        <f>IF($A201="","",IF(AND($M201=1,$J201&lt;&gt;""),$J201-IF($K201="",0,$K201),""))</f>
        <v/>
      </c>
    </row>
    <row r="197" ht="15" customHeight="1" s="27">
      <c r="A197" s="34" t="n"/>
      <c r="B197" s="26" t="n"/>
      <c r="C197" s="26" t="n"/>
      <c r="D197" s="26" t="n"/>
      <c r="E197" s="26" t="n"/>
      <c r="F197" s="26" t="n"/>
      <c r="G197" s="35" t="n"/>
      <c r="H197" s="26" t="n"/>
      <c r="I197" s="34" t="n"/>
      <c r="J197" s="35">
        <f>IF($G202="","",$G202*0.15)</f>
        <v/>
      </c>
      <c r="K197" s="35" t="n"/>
      <c r="L197" s="26" t="n"/>
      <c r="M197" s="36">
        <f>IF($A202="","",IF(OR($H202="delivered",$H202="invoiced",$H202="paid"),1,0))</f>
        <v/>
      </c>
      <c r="N197" s="35">
        <f>IF($A202="","",IF(AND($M202=1,$J202&lt;&gt;""),$J202-IF($K202="",0,$K202),""))</f>
        <v/>
      </c>
    </row>
    <row r="198" ht="15" customHeight="1" s="27">
      <c r="A198" s="34" t="n"/>
      <c r="B198" s="26" t="n"/>
      <c r="C198" s="26" t="n"/>
      <c r="D198" s="26" t="n"/>
      <c r="E198" s="26" t="n"/>
      <c r="F198" s="26" t="n"/>
      <c r="G198" s="35" t="n"/>
      <c r="H198" s="26" t="n"/>
      <c r="I198" s="34" t="n"/>
      <c r="J198" s="35">
        <f>IF($G203="","",$G203*0.15)</f>
        <v/>
      </c>
      <c r="K198" s="35" t="n"/>
      <c r="L198" s="26" t="n"/>
      <c r="M198" s="36">
        <f>IF($A203="","",IF(OR($H203="delivered",$H203="invoiced",$H203="paid"),1,0))</f>
        <v/>
      </c>
      <c r="N198" s="35">
        <f>IF($A203="","",IF(AND($M203=1,$J203&lt;&gt;""),$J203-IF($K203="",0,$K203),""))</f>
        <v/>
      </c>
    </row>
    <row r="199" ht="15" customHeight="1" s="27">
      <c r="A199" s="34" t="n"/>
      <c r="B199" s="26" t="n"/>
      <c r="C199" s="26" t="n"/>
      <c r="D199" s="26" t="n"/>
      <c r="E199" s="26" t="n"/>
      <c r="F199" s="26" t="n"/>
      <c r="G199" s="35" t="n"/>
      <c r="H199" s="26" t="n"/>
      <c r="I199" s="34" t="n"/>
      <c r="J199" s="35">
        <f>IF($G204="","",$G204*0.15)</f>
        <v/>
      </c>
      <c r="K199" s="35" t="n"/>
      <c r="L199" s="26" t="n"/>
      <c r="M199" s="36">
        <f>IF($A204="","",IF(OR($H204="delivered",$H204="invoiced",$H204="paid"),1,0))</f>
        <v/>
      </c>
      <c r="N199" s="35">
        <f>IF($A204="","",IF(AND($M204=1,$J204&lt;&gt;""),$J204-IF($K204="",0,$K204),""))</f>
        <v/>
      </c>
    </row>
    <row r="200" ht="15" customHeight="1" s="27">
      <c r="A200" s="34" t="n"/>
      <c r="B200" s="26" t="n"/>
      <c r="C200" s="26" t="n"/>
      <c r="D200" s="26" t="n"/>
      <c r="E200" s="26" t="n"/>
      <c r="F200" s="26" t="n"/>
      <c r="G200" s="35" t="n"/>
      <c r="H200" s="26" t="n"/>
      <c r="I200" s="34" t="n"/>
      <c r="J200" s="35">
        <f>IF($G205="","",$G205*0.15)</f>
        <v/>
      </c>
      <c r="K200" s="35" t="n"/>
      <c r="L200" s="26" t="n"/>
      <c r="M200" s="36">
        <f>IF($A205="","",IF(OR($H205="delivered",$H205="invoiced",$H205="paid"),1,0))</f>
        <v/>
      </c>
      <c r="N200" s="35">
        <f>IF($A205="","",IF(AND($M205=1,$J205&lt;&gt;""),$J205-IF($K205="",0,$K205),""))</f>
        <v/>
      </c>
    </row>
    <row r="201" ht="15" customHeight="1" s="27">
      <c r="A201" s="34" t="n"/>
      <c r="B201" s="26" t="n"/>
      <c r="C201" s="26" t="n"/>
      <c r="D201" s="26" t="n"/>
      <c r="E201" s="26" t="n"/>
      <c r="F201" s="26" t="n"/>
      <c r="G201" s="35" t="n"/>
      <c r="H201" s="26" t="n"/>
      <c r="I201" s="34" t="n"/>
      <c r="J201" s="35">
        <f>IF($G206="","",$G206*0.15)</f>
        <v/>
      </c>
      <c r="K201" s="35" t="n"/>
      <c r="L201" s="26" t="n"/>
      <c r="M201" s="36">
        <f>IF($A206="","",IF(OR($H206="delivered",$H206="invoiced",$H206="paid"),1,0))</f>
        <v/>
      </c>
      <c r="N201" s="35">
        <f>IF($A206="","",IF(AND($M206=1,$J206&lt;&gt;""),$J206-IF($K206="",0,$K206),""))</f>
        <v/>
      </c>
    </row>
    <row r="202" ht="15" customHeight="1" s="27">
      <c r="A202" s="34" t="n"/>
      <c r="B202" s="26" t="n"/>
      <c r="C202" s="26" t="n"/>
      <c r="D202" s="26" t="n"/>
      <c r="E202" s="26" t="n"/>
      <c r="F202" s="26" t="n"/>
      <c r="G202" s="35" t="n"/>
      <c r="H202" s="26" t="n"/>
      <c r="I202" s="34" t="n"/>
      <c r="J202" s="35">
        <f>IF($G207="","",$G207*0.15)</f>
        <v/>
      </c>
      <c r="K202" s="35" t="n"/>
      <c r="L202" s="26" t="n"/>
      <c r="M202" s="36">
        <f>IF($A207="","",IF(OR($H207="delivered",$H207="invoiced",$H207="paid"),1,0))</f>
        <v/>
      </c>
      <c r="N202" s="35">
        <f>IF($A207="","",IF(AND($M207=1,$J207&lt;&gt;""),$J207-IF($K207="",0,$K207),""))</f>
        <v/>
      </c>
    </row>
    <row r="203" ht="15" customHeight="1" s="27">
      <c r="A203" s="34" t="n"/>
      <c r="B203" s="26" t="n"/>
      <c r="C203" s="26" t="n"/>
      <c r="D203" s="26" t="n"/>
      <c r="E203" s="26" t="n"/>
      <c r="F203" s="26" t="n"/>
      <c r="G203" s="35" t="n"/>
      <c r="H203" s="26" t="n"/>
      <c r="I203" s="34" t="n"/>
      <c r="J203" s="35">
        <f>IF($G208="","",$G208*0.15)</f>
        <v/>
      </c>
      <c r="K203" s="35" t="n"/>
      <c r="L203" s="26" t="n"/>
      <c r="M203" s="36">
        <f>IF($A208="","",IF(OR($H208="delivered",$H208="invoiced",$H208="paid"),1,0))</f>
        <v/>
      </c>
      <c r="N203" s="35">
        <f>IF($A208="","",IF(AND($M208=1,$J208&lt;&gt;""),$J208-IF($K208="",0,$K208),""))</f>
        <v/>
      </c>
    </row>
    <row r="204" ht="15" customHeight="1" s="27">
      <c r="A204" s="34" t="n"/>
      <c r="B204" s="26" t="n"/>
      <c r="C204" s="26" t="n"/>
      <c r="D204" s="26" t="n"/>
      <c r="E204" s="26" t="n"/>
      <c r="F204" s="26" t="n"/>
      <c r="G204" s="35" t="n"/>
      <c r="H204" s="26" t="n"/>
      <c r="I204" s="34" t="n"/>
      <c r="J204" s="35">
        <f>IF($G209="","",$G209*0.15)</f>
        <v/>
      </c>
      <c r="K204" s="35" t="n"/>
      <c r="L204" s="26" t="n"/>
      <c r="M204" s="36">
        <f>IF($A209="","",IF(OR($H209="delivered",$H209="invoiced",$H209="paid"),1,0))</f>
        <v/>
      </c>
      <c r="N204" s="35">
        <f>IF($A209="","",IF(AND($M209=1,$J209&lt;&gt;""),$J209-IF($K209="",0,$K209),""))</f>
        <v/>
      </c>
    </row>
    <row r="205" ht="15" customHeight="1" s="27">
      <c r="A205" s="34" t="n"/>
      <c r="B205" s="26" t="n"/>
      <c r="C205" s="26" t="n"/>
      <c r="D205" s="26" t="n"/>
      <c r="E205" s="26" t="n"/>
      <c r="F205" s="26" t="n"/>
      <c r="G205" s="35" t="n"/>
      <c r="H205" s="26" t="n"/>
      <c r="I205" s="34" t="n"/>
      <c r="J205" s="35">
        <f>IF($G210="","",$G210*0.15)</f>
        <v/>
      </c>
      <c r="K205" s="35" t="n"/>
      <c r="L205" s="26" t="n"/>
      <c r="M205" s="36">
        <f>IF($A210="","",IF(OR($H210="delivered",$H210="invoiced",$H210="paid"),1,0))</f>
        <v/>
      </c>
      <c r="N205" s="35">
        <f>IF($A210="","",IF(AND($M210=1,$J210&lt;&gt;""),$J210-IF($K210="",0,$K210),""))</f>
        <v/>
      </c>
    </row>
    <row r="206" ht="15" customHeight="1" s="27">
      <c r="A206" s="34" t="n"/>
      <c r="B206" s="26" t="n"/>
      <c r="C206" s="26" t="n"/>
      <c r="D206" s="26" t="n"/>
      <c r="E206" s="26" t="n"/>
      <c r="F206" s="26" t="n"/>
      <c r="G206" s="35" t="n"/>
      <c r="H206" s="26" t="n"/>
      <c r="I206" s="34" t="n"/>
      <c r="J206" s="35">
        <f>IF($G211="","",$G211*0.15)</f>
        <v/>
      </c>
      <c r="K206" s="35" t="n"/>
      <c r="L206" s="26" t="n"/>
      <c r="M206" s="36">
        <f>IF($A211="","",IF(OR($H211="delivered",$H211="invoiced",$H211="paid"),1,0))</f>
        <v/>
      </c>
      <c r="N206" s="35">
        <f>IF($A211="","",IF(AND($M211=1,$J211&lt;&gt;""),$J211-IF($K211="",0,$K211),""))</f>
        <v/>
      </c>
    </row>
    <row r="207" ht="15" customHeight="1" s="27">
      <c r="A207" s="34" t="n"/>
      <c r="B207" s="26" t="n"/>
      <c r="C207" s="26" t="n"/>
      <c r="D207" s="26" t="n"/>
      <c r="E207" s="26" t="n"/>
      <c r="F207" s="26" t="n"/>
      <c r="G207" s="35" t="n"/>
      <c r="H207" s="26" t="n"/>
      <c r="I207" s="34" t="n"/>
      <c r="J207" s="35">
        <f>IF($G212="","",$G212*0.15)</f>
        <v/>
      </c>
      <c r="K207" s="35" t="n"/>
      <c r="L207" s="26" t="n"/>
      <c r="M207" s="36">
        <f>IF($A212="","",IF(OR($H212="delivered",$H212="invoiced",$H212="paid"),1,0))</f>
        <v/>
      </c>
      <c r="N207" s="35">
        <f>IF($A212="","",IF(AND($M212=1,$J212&lt;&gt;""),$J212-IF($K212="",0,$K212),""))</f>
        <v/>
      </c>
    </row>
    <row r="208" ht="15" customHeight="1" s="27">
      <c r="A208" s="34" t="n"/>
      <c r="B208" s="26" t="n"/>
      <c r="C208" s="26" t="n"/>
      <c r="D208" s="26" t="n"/>
      <c r="E208" s="26" t="n"/>
      <c r="F208" s="26" t="n"/>
      <c r="G208" s="35" t="n"/>
      <c r="H208" s="26" t="n"/>
      <c r="I208" s="34" t="n"/>
      <c r="J208" s="35">
        <f>IF($G213="","",$G213*0.15)</f>
        <v/>
      </c>
      <c r="K208" s="35" t="n"/>
      <c r="L208" s="26" t="n"/>
      <c r="M208" s="36">
        <f>IF($A213="","",IF(OR($H213="delivered",$H213="invoiced",$H213="paid"),1,0))</f>
        <v/>
      </c>
      <c r="N208" s="35">
        <f>IF($A213="","",IF(AND($M213=1,$J213&lt;&gt;""),$J213-IF($K213="",0,$K213),""))</f>
        <v/>
      </c>
    </row>
    <row r="209" ht="15" customHeight="1" s="27">
      <c r="A209" s="34" t="n"/>
      <c r="B209" s="26" t="n"/>
      <c r="C209" s="26" t="n"/>
      <c r="D209" s="26" t="n"/>
      <c r="E209" s="26" t="n"/>
      <c r="F209" s="26" t="n"/>
      <c r="G209" s="35" t="n"/>
      <c r="H209" s="26" t="n"/>
      <c r="I209" s="34" t="n"/>
      <c r="J209" s="35">
        <f>IF($G214="","",$G214*0.15)</f>
        <v/>
      </c>
      <c r="K209" s="35" t="n"/>
      <c r="L209" s="26" t="n"/>
      <c r="M209" s="36">
        <f>IF($A214="","",IF(OR($H214="delivered",$H214="invoiced",$H214="paid"),1,0))</f>
        <v/>
      </c>
      <c r="N209" s="35">
        <f>IF($A214="","",IF(AND($M214=1,$J214&lt;&gt;""),$J214-IF($K214="",0,$K214),""))</f>
        <v/>
      </c>
    </row>
    <row r="210" ht="15" customHeight="1" s="27">
      <c r="A210" s="34" t="n"/>
      <c r="B210" s="26" t="n"/>
      <c r="C210" s="26" t="n"/>
      <c r="D210" s="26" t="n"/>
      <c r="E210" s="26" t="n"/>
      <c r="F210" s="26" t="n"/>
      <c r="G210" s="35" t="n"/>
      <c r="H210" s="26" t="n"/>
      <c r="I210" s="34" t="n"/>
      <c r="J210" s="35">
        <f>IF($G215="","",$G215*0.15)</f>
        <v/>
      </c>
      <c r="K210" s="35" t="n"/>
      <c r="L210" s="26" t="n"/>
      <c r="M210" s="36">
        <f>IF($A215="","",IF(OR($H215="delivered",$H215="invoiced",$H215="paid"),1,0))</f>
        <v/>
      </c>
      <c r="N210" s="35">
        <f>IF($A215="","",IF(AND($M215=1,$J215&lt;&gt;""),$J215-IF($K215="",0,$K215),""))</f>
        <v/>
      </c>
    </row>
    <row r="211" ht="15" customHeight="1" s="27">
      <c r="A211" s="34" t="n"/>
      <c r="B211" s="26" t="n"/>
      <c r="C211" s="26" t="n"/>
      <c r="D211" s="26" t="n"/>
      <c r="E211" s="26" t="n"/>
      <c r="F211" s="26" t="n"/>
      <c r="G211" s="35" t="n"/>
      <c r="H211" s="26" t="n"/>
      <c r="I211" s="34" t="n"/>
      <c r="J211" s="35">
        <f>IF($G216="","",$G216*0.15)</f>
        <v/>
      </c>
      <c r="K211" s="35" t="n"/>
      <c r="L211" s="26" t="n"/>
      <c r="M211" s="36">
        <f>IF($A216="","",IF(OR($H216="delivered",$H216="invoiced",$H216="paid"),1,0))</f>
        <v/>
      </c>
      <c r="N211" s="35">
        <f>IF($A216="","",IF(AND($M216=1,$J216&lt;&gt;""),$J216-IF($K216="",0,$K216),""))</f>
        <v/>
      </c>
    </row>
    <row r="212" ht="15" customHeight="1" s="27">
      <c r="A212" s="34" t="n"/>
      <c r="B212" s="26" t="n"/>
      <c r="C212" s="26" t="n"/>
      <c r="D212" s="26" t="n"/>
      <c r="E212" s="26" t="n"/>
      <c r="F212" s="26" t="n"/>
      <c r="G212" s="35" t="n"/>
      <c r="H212" s="26" t="n"/>
      <c r="I212" s="34" t="n"/>
      <c r="J212" s="35">
        <f>IF($G217="","",$G217*0.15)</f>
        <v/>
      </c>
      <c r="K212" s="35" t="n"/>
      <c r="L212" s="26" t="n"/>
      <c r="M212" s="36">
        <f>IF($A217="","",IF(OR($H217="delivered",$H217="invoiced",$H217="paid"),1,0))</f>
        <v/>
      </c>
      <c r="N212" s="35">
        <f>IF($A217="","",IF(AND($M217=1,$J217&lt;&gt;""),$J217-IF($K217="",0,$K217),""))</f>
        <v/>
      </c>
    </row>
    <row r="213" ht="15" customHeight="1" s="27">
      <c r="A213" s="34" t="n"/>
      <c r="B213" s="26" t="n"/>
      <c r="C213" s="26" t="n"/>
      <c r="D213" s="26" t="n"/>
      <c r="E213" s="26" t="n"/>
      <c r="F213" s="26" t="n"/>
      <c r="G213" s="35" t="n"/>
      <c r="H213" s="26" t="n"/>
      <c r="I213" s="34" t="n"/>
      <c r="J213" s="35">
        <f>IF($G218="","",$G218*0.15)</f>
        <v/>
      </c>
      <c r="K213" s="35" t="n"/>
      <c r="L213" s="26" t="n"/>
      <c r="M213" s="36">
        <f>IF($A218="","",IF(OR($H218="delivered",$H218="invoiced",$H218="paid"),1,0))</f>
        <v/>
      </c>
      <c r="N213" s="35">
        <f>IF($A218="","",IF(AND($M218=1,$J218&lt;&gt;""),$J218-IF($K218="",0,$K218),""))</f>
        <v/>
      </c>
    </row>
    <row r="214" ht="15" customHeight="1" s="27">
      <c r="A214" s="34" t="n"/>
      <c r="B214" s="26" t="n"/>
      <c r="C214" s="26" t="n"/>
      <c r="D214" s="26" t="n"/>
      <c r="E214" s="26" t="n"/>
      <c r="F214" s="26" t="n"/>
      <c r="G214" s="35" t="n"/>
      <c r="H214" s="26" t="n"/>
      <c r="I214" s="34" t="n"/>
      <c r="J214" s="35">
        <f>IF($G219="","",$G219*0.15)</f>
        <v/>
      </c>
      <c r="K214" s="35" t="n"/>
      <c r="L214" s="26" t="n"/>
      <c r="M214" s="36">
        <f>IF($A219="","",IF(OR($H219="delivered",$H219="invoiced",$H219="paid"),1,0))</f>
        <v/>
      </c>
      <c r="N214" s="35">
        <f>IF($A219="","",IF(AND($M219=1,$J219&lt;&gt;""),$J219-IF($K219="",0,$K219),""))</f>
        <v/>
      </c>
    </row>
    <row r="215" ht="15" customHeight="1" s="27">
      <c r="A215" s="34" t="n"/>
      <c r="B215" s="26" t="n"/>
      <c r="C215" s="26" t="n"/>
      <c r="D215" s="26" t="n"/>
      <c r="E215" s="26" t="n"/>
      <c r="F215" s="26" t="n"/>
      <c r="G215" s="35" t="n"/>
      <c r="H215" s="26" t="n"/>
      <c r="I215" s="34" t="n"/>
      <c r="J215" s="35">
        <f>IF($G220="","",$G220*0.15)</f>
        <v/>
      </c>
      <c r="K215" s="35" t="n"/>
      <c r="L215" s="26" t="n"/>
      <c r="M215" s="36">
        <f>IF($A220="","",IF(OR($H220="delivered",$H220="invoiced",$H220="paid"),1,0))</f>
        <v/>
      </c>
      <c r="N215" s="35">
        <f>IF($A220="","",IF(AND($M220=1,$J220&lt;&gt;""),$J220-IF($K220="",0,$K220),""))</f>
        <v/>
      </c>
    </row>
    <row r="216" ht="15" customHeight="1" s="27">
      <c r="A216" s="34" t="n"/>
      <c r="B216" s="26" t="n"/>
      <c r="C216" s="26" t="n"/>
      <c r="D216" s="26" t="n"/>
      <c r="E216" s="26" t="n"/>
      <c r="F216" s="26" t="n"/>
      <c r="G216" s="35" t="n"/>
      <c r="H216" s="26" t="n"/>
      <c r="I216" s="34" t="n"/>
      <c r="J216" s="35">
        <f>IF($G221="","",$G221*0.15)</f>
        <v/>
      </c>
      <c r="K216" s="35" t="n"/>
      <c r="L216" s="26" t="n"/>
      <c r="M216" s="36">
        <f>IF($A221="","",IF(OR($H221="delivered",$H221="invoiced",$H221="paid"),1,0))</f>
        <v/>
      </c>
      <c r="N216" s="35">
        <f>IF($A221="","",IF(AND($M221=1,$J221&lt;&gt;""),$J221-IF($K221="",0,$K221),""))</f>
        <v/>
      </c>
    </row>
    <row r="217" ht="15" customHeight="1" s="27">
      <c r="A217" s="34" t="n"/>
      <c r="B217" s="26" t="n"/>
      <c r="C217" s="26" t="n"/>
      <c r="D217" s="26" t="n"/>
      <c r="E217" s="26" t="n"/>
      <c r="F217" s="26" t="n"/>
      <c r="G217" s="35" t="n"/>
      <c r="H217" s="26" t="n"/>
      <c r="I217" s="34" t="n"/>
      <c r="J217" s="35">
        <f>IF($G222="","",$G222*0.15)</f>
        <v/>
      </c>
      <c r="K217" s="35" t="n"/>
      <c r="L217" s="26" t="n"/>
      <c r="M217" s="36">
        <f>IF($A222="","",IF(OR($H222="delivered",$H222="invoiced",$H222="paid"),1,0))</f>
        <v/>
      </c>
      <c r="N217" s="35">
        <f>IF($A222="","",IF(AND($M222=1,$J222&lt;&gt;""),$J222-IF($K222="",0,$K222),""))</f>
        <v/>
      </c>
    </row>
    <row r="218" ht="15" customHeight="1" s="27">
      <c r="A218" s="34" t="n"/>
      <c r="B218" s="26" t="n"/>
      <c r="C218" s="26" t="n"/>
      <c r="D218" s="26" t="n"/>
      <c r="E218" s="26" t="n"/>
      <c r="F218" s="26" t="n"/>
      <c r="G218" s="35" t="n"/>
      <c r="H218" s="26" t="n"/>
      <c r="I218" s="34" t="n"/>
      <c r="J218" s="35">
        <f>IF($G223="","",$G223*0.15)</f>
        <v/>
      </c>
      <c r="K218" s="35" t="n"/>
      <c r="L218" s="26" t="n"/>
      <c r="M218" s="36">
        <f>IF($A223="","",IF(OR($H223="delivered",$H223="invoiced",$H223="paid"),1,0))</f>
        <v/>
      </c>
      <c r="N218" s="35">
        <f>IF($A223="","",IF(AND($M223=1,$J223&lt;&gt;""),$J223-IF($K223="",0,$K223),""))</f>
        <v/>
      </c>
    </row>
    <row r="219" ht="15" customHeight="1" s="27">
      <c r="A219" s="34" t="n"/>
      <c r="B219" s="26" t="n"/>
      <c r="C219" s="26" t="n"/>
      <c r="D219" s="26" t="n"/>
      <c r="E219" s="26" t="n"/>
      <c r="F219" s="26" t="n"/>
      <c r="G219" s="35" t="n"/>
      <c r="H219" s="26" t="n"/>
      <c r="I219" s="34" t="n"/>
      <c r="J219" s="35">
        <f>IF($G224="","",$G224*0.15)</f>
        <v/>
      </c>
      <c r="K219" s="35" t="n"/>
      <c r="L219" s="26" t="n"/>
      <c r="M219" s="36">
        <f>IF($A224="","",IF(OR($H224="delivered",$H224="invoiced",$H224="paid"),1,0))</f>
        <v/>
      </c>
      <c r="N219" s="35">
        <f>IF($A224="","",IF(AND($M224=1,$J224&lt;&gt;""),$J224-IF($K224="",0,$K224),""))</f>
        <v/>
      </c>
    </row>
    <row r="220" ht="15" customHeight="1" s="27">
      <c r="A220" s="34" t="n"/>
      <c r="B220" s="26" t="n"/>
      <c r="C220" s="26" t="n"/>
      <c r="D220" s="26" t="n"/>
      <c r="E220" s="26" t="n"/>
      <c r="F220" s="26" t="n"/>
      <c r="G220" s="35" t="n"/>
      <c r="H220" s="26" t="n"/>
      <c r="I220" s="34" t="n"/>
      <c r="J220" s="35">
        <f>IF($G225="","",$G225*0.15)</f>
        <v/>
      </c>
      <c r="K220" s="35" t="n"/>
      <c r="L220" s="26" t="n"/>
      <c r="M220" s="36">
        <f>IF($A225="","",IF(OR($H225="delivered",$H225="invoiced",$H225="paid"),1,0))</f>
        <v/>
      </c>
      <c r="N220" s="35">
        <f>IF($A225="","",IF(AND($M225=1,$J225&lt;&gt;""),$J225-IF($K225="",0,$K225),""))</f>
        <v/>
      </c>
    </row>
    <row r="221" ht="15" customHeight="1" s="27">
      <c r="A221" s="34" t="n"/>
      <c r="B221" s="26" t="n"/>
      <c r="C221" s="26" t="n"/>
      <c r="D221" s="26" t="n"/>
      <c r="E221" s="26" t="n"/>
      <c r="F221" s="26" t="n"/>
      <c r="G221" s="35" t="n"/>
      <c r="H221" s="26" t="n"/>
      <c r="I221" s="34" t="n"/>
      <c r="J221" s="35">
        <f>IF($G226="","",$G226*0.15)</f>
        <v/>
      </c>
      <c r="K221" s="35" t="n"/>
      <c r="L221" s="26" t="n"/>
      <c r="M221" s="36">
        <f>IF($A226="","",IF(OR($H226="delivered",$H226="invoiced",$H226="paid"),1,0))</f>
        <v/>
      </c>
      <c r="N221" s="35">
        <f>IF($A226="","",IF(AND($M226=1,$J226&lt;&gt;""),$J226-IF($K226="",0,$K226),""))</f>
        <v/>
      </c>
    </row>
    <row r="222" ht="15" customHeight="1" s="27">
      <c r="A222" s="34" t="n"/>
      <c r="B222" s="26" t="n"/>
      <c r="C222" s="26" t="n"/>
      <c r="D222" s="26" t="n"/>
      <c r="E222" s="26" t="n"/>
      <c r="F222" s="26" t="n"/>
      <c r="G222" s="35" t="n"/>
      <c r="H222" s="26" t="n"/>
      <c r="I222" s="34" t="n"/>
      <c r="J222" s="35">
        <f>IF($G227="","",$G227*0.15)</f>
        <v/>
      </c>
      <c r="K222" s="35" t="n"/>
      <c r="L222" s="26" t="n"/>
      <c r="M222" s="36">
        <f>IF($A227="","",IF(OR($H227="delivered",$H227="invoiced",$H227="paid"),1,0))</f>
        <v/>
      </c>
      <c r="N222" s="35">
        <f>IF($A227="","",IF(AND($M227=1,$J227&lt;&gt;""),$J227-IF($K227="",0,$K227),""))</f>
        <v/>
      </c>
    </row>
    <row r="223" ht="15" customHeight="1" s="27">
      <c r="A223" s="34" t="n"/>
      <c r="B223" s="26" t="n"/>
      <c r="C223" s="26" t="n"/>
      <c r="D223" s="26" t="n"/>
      <c r="E223" s="26" t="n"/>
      <c r="F223" s="26" t="n"/>
      <c r="G223" s="35" t="n"/>
      <c r="H223" s="26" t="n"/>
      <c r="I223" s="34" t="n"/>
      <c r="J223" s="35">
        <f>IF($G228="","",$G228*0.15)</f>
        <v/>
      </c>
      <c r="K223" s="35" t="n"/>
      <c r="L223" s="26" t="n"/>
      <c r="M223" s="36">
        <f>IF($A228="","",IF(OR($H228="delivered",$H228="invoiced",$H228="paid"),1,0))</f>
        <v/>
      </c>
      <c r="N223" s="35">
        <f>IF($A228="","",IF(AND($M228=1,$J228&lt;&gt;""),$J228-IF($K228="",0,$K228),""))</f>
        <v/>
      </c>
    </row>
    <row r="224" ht="15" customHeight="1" s="27">
      <c r="A224" s="34" t="n"/>
      <c r="B224" s="26" t="n"/>
      <c r="C224" s="26" t="n"/>
      <c r="D224" s="26" t="n"/>
      <c r="E224" s="26" t="n"/>
      <c r="F224" s="26" t="n"/>
      <c r="G224" s="35" t="n"/>
      <c r="H224" s="26" t="n"/>
      <c r="I224" s="34" t="n"/>
      <c r="J224" s="35">
        <f>IF($G229="","",$G229*0.15)</f>
        <v/>
      </c>
      <c r="K224" s="35" t="n"/>
      <c r="L224" s="26" t="n"/>
      <c r="M224" s="36">
        <f>IF($A229="","",IF(OR($H229="delivered",$H229="invoiced",$H229="paid"),1,0))</f>
        <v/>
      </c>
      <c r="N224" s="35">
        <f>IF($A229="","",IF(AND($M229=1,$J229&lt;&gt;""),$J229-IF($K229="",0,$K229),""))</f>
        <v/>
      </c>
    </row>
    <row r="225" ht="15" customHeight="1" s="27">
      <c r="A225" s="34" t="n"/>
      <c r="B225" s="26" t="n"/>
      <c r="C225" s="26" t="n"/>
      <c r="D225" s="26" t="n"/>
      <c r="E225" s="26" t="n"/>
      <c r="F225" s="26" t="n"/>
      <c r="G225" s="35" t="n"/>
      <c r="H225" s="26" t="n"/>
      <c r="I225" s="34" t="n"/>
      <c r="J225" s="35">
        <f>IF($G230="","",$G230*0.15)</f>
        <v/>
      </c>
      <c r="K225" s="35" t="n"/>
      <c r="L225" s="26" t="n"/>
      <c r="M225" s="36">
        <f>IF($A230="","",IF(OR($H230="delivered",$H230="invoiced",$H230="paid"),1,0))</f>
        <v/>
      </c>
      <c r="N225" s="35">
        <f>IF($A230="","",IF(AND($M230=1,$J230&lt;&gt;""),$J230-IF($K230="",0,$K230),""))</f>
        <v/>
      </c>
    </row>
    <row r="226" ht="15" customHeight="1" s="27">
      <c r="A226" s="34" t="n"/>
      <c r="B226" s="26" t="n"/>
      <c r="C226" s="26" t="n"/>
      <c r="D226" s="26" t="n"/>
      <c r="E226" s="26" t="n"/>
      <c r="F226" s="26" t="n"/>
      <c r="G226" s="35" t="n"/>
      <c r="H226" s="26" t="n"/>
      <c r="I226" s="34" t="n"/>
      <c r="J226" s="35">
        <f>IF($G231="","",$G231*0.15)</f>
        <v/>
      </c>
      <c r="K226" s="35" t="n"/>
      <c r="L226" s="26" t="n"/>
      <c r="M226" s="36">
        <f>IF($A231="","",IF(OR($H231="delivered",$H231="invoiced",$H231="paid"),1,0))</f>
        <v/>
      </c>
      <c r="N226" s="35">
        <f>IF($A231="","",IF(AND($M231=1,$J231&lt;&gt;""),$J231-IF($K231="",0,$K231),""))</f>
        <v/>
      </c>
    </row>
    <row r="227" ht="15" customHeight="1" s="27">
      <c r="A227" s="34" t="n"/>
      <c r="B227" s="26" t="n"/>
      <c r="C227" s="26" t="n"/>
      <c r="D227" s="26" t="n"/>
      <c r="E227" s="26" t="n"/>
      <c r="F227" s="26" t="n"/>
      <c r="G227" s="35" t="n"/>
      <c r="H227" s="26" t="n"/>
      <c r="I227" s="34" t="n"/>
      <c r="J227" s="35">
        <f>IF($G232="","",$G232*0.15)</f>
        <v/>
      </c>
      <c r="K227" s="35" t="n"/>
      <c r="L227" s="26" t="n"/>
      <c r="M227" s="36">
        <f>IF($A232="","",IF(OR($H232="delivered",$H232="invoiced",$H232="paid"),1,0))</f>
        <v/>
      </c>
      <c r="N227" s="35">
        <f>IF($A232="","",IF(AND($M232=1,$J232&lt;&gt;""),$J232-IF($K232="",0,$K232),""))</f>
        <v/>
      </c>
    </row>
    <row r="228" ht="15" customHeight="1" s="27">
      <c r="A228" s="34" t="n"/>
      <c r="B228" s="26" t="n"/>
      <c r="C228" s="26" t="n"/>
      <c r="D228" s="26" t="n"/>
      <c r="E228" s="26" t="n"/>
      <c r="F228" s="26" t="n"/>
      <c r="G228" s="35" t="n"/>
      <c r="H228" s="26" t="n"/>
      <c r="I228" s="34" t="n"/>
      <c r="J228" s="35">
        <f>IF($G233="","",$G233*0.15)</f>
        <v/>
      </c>
      <c r="K228" s="35" t="n"/>
      <c r="L228" s="26" t="n"/>
      <c r="M228" s="36">
        <f>IF($A233="","",IF(OR($H233="delivered",$H233="invoiced",$H233="paid"),1,0))</f>
        <v/>
      </c>
      <c r="N228" s="35">
        <f>IF($A233="","",IF(AND($M233=1,$J233&lt;&gt;""),$J233-IF($K233="",0,$K233),""))</f>
        <v/>
      </c>
    </row>
    <row r="229" ht="15" customHeight="1" s="27">
      <c r="A229" s="34" t="n"/>
      <c r="B229" s="26" t="n"/>
      <c r="C229" s="26" t="n"/>
      <c r="D229" s="26" t="n"/>
      <c r="E229" s="26" t="n"/>
      <c r="F229" s="26" t="n"/>
      <c r="G229" s="35" t="n"/>
      <c r="H229" s="26" t="n"/>
      <c r="I229" s="34" t="n"/>
      <c r="J229" s="35">
        <f>IF($G234="","",$G234*0.15)</f>
        <v/>
      </c>
      <c r="K229" s="35" t="n"/>
      <c r="L229" s="26" t="n"/>
      <c r="M229" s="36">
        <f>IF($A234="","",IF(OR($H234="delivered",$H234="invoiced",$H234="paid"),1,0))</f>
        <v/>
      </c>
      <c r="N229" s="35">
        <f>IF($A234="","",IF(AND($M234=1,$J234&lt;&gt;""),$J234-IF($K234="",0,$K234),""))</f>
        <v/>
      </c>
    </row>
    <row r="230" ht="15" customHeight="1" s="27">
      <c r="A230" s="34" t="n"/>
      <c r="B230" s="26" t="n"/>
      <c r="C230" s="26" t="n"/>
      <c r="D230" s="26" t="n"/>
      <c r="E230" s="26" t="n"/>
      <c r="F230" s="26" t="n"/>
      <c r="G230" s="35" t="n"/>
      <c r="H230" s="26" t="n"/>
      <c r="I230" s="34" t="n"/>
      <c r="J230" s="35">
        <f>IF($G235="","",$G235*0.15)</f>
        <v/>
      </c>
      <c r="K230" s="35" t="n"/>
      <c r="L230" s="26" t="n"/>
      <c r="M230" s="36">
        <f>IF($A235="","",IF(OR($H235="delivered",$H235="invoiced",$H235="paid"),1,0))</f>
        <v/>
      </c>
      <c r="N230" s="35">
        <f>IF($A235="","",IF(AND($M235=1,$J235&lt;&gt;""),$J235-IF($K235="",0,$K235),""))</f>
        <v/>
      </c>
    </row>
    <row r="231" ht="15" customHeight="1" s="27">
      <c r="A231" s="34" t="n"/>
      <c r="B231" s="26" t="n"/>
      <c r="C231" s="26" t="n"/>
      <c r="D231" s="26" t="n"/>
      <c r="E231" s="26" t="n"/>
      <c r="F231" s="26" t="n"/>
      <c r="G231" s="35" t="n"/>
      <c r="H231" s="26" t="n"/>
      <c r="I231" s="34" t="n"/>
      <c r="J231" s="35">
        <f>IF($G236="","",$G236*0.15)</f>
        <v/>
      </c>
      <c r="K231" s="35" t="n"/>
      <c r="L231" s="26" t="n"/>
      <c r="M231" s="36">
        <f>IF($A236="","",IF(OR($H236="delivered",$H236="invoiced",$H236="paid"),1,0))</f>
        <v/>
      </c>
      <c r="N231" s="35">
        <f>IF($A236="","",IF(AND($M236=1,$J236&lt;&gt;""),$J236-IF($K236="",0,$K236),""))</f>
        <v/>
      </c>
    </row>
    <row r="232" ht="15" customHeight="1" s="27">
      <c r="A232" s="34" t="n"/>
      <c r="B232" s="26" t="n"/>
      <c r="C232" s="26" t="n"/>
      <c r="D232" s="26" t="n"/>
      <c r="E232" s="26" t="n"/>
      <c r="F232" s="26" t="n"/>
      <c r="G232" s="35" t="n"/>
      <c r="H232" s="26" t="n"/>
      <c r="I232" s="34" t="n"/>
      <c r="J232" s="35">
        <f>IF($G237="","",$G237*0.15)</f>
        <v/>
      </c>
      <c r="K232" s="35" t="n"/>
      <c r="L232" s="26" t="n"/>
      <c r="M232" s="36">
        <f>IF($A237="","",IF(OR($H237="delivered",$H237="invoiced",$H237="paid"),1,0))</f>
        <v/>
      </c>
      <c r="N232" s="35">
        <f>IF($A237="","",IF(AND($M237=1,$J237&lt;&gt;""),$J237-IF($K237="",0,$K237),""))</f>
        <v/>
      </c>
    </row>
    <row r="233" ht="15" customHeight="1" s="27">
      <c r="A233" s="34" t="n"/>
      <c r="B233" s="26" t="n"/>
      <c r="C233" s="26" t="n"/>
      <c r="D233" s="26" t="n"/>
      <c r="E233" s="26" t="n"/>
      <c r="F233" s="26" t="n"/>
      <c r="G233" s="35" t="n"/>
      <c r="H233" s="26" t="n"/>
      <c r="I233" s="34" t="n"/>
      <c r="J233" s="35">
        <f>IF($G238="","",$G238*0.15)</f>
        <v/>
      </c>
      <c r="K233" s="35" t="n"/>
      <c r="L233" s="26" t="n"/>
      <c r="M233" s="36">
        <f>IF($A238="","",IF(OR($H238="delivered",$H238="invoiced",$H238="paid"),1,0))</f>
        <v/>
      </c>
      <c r="N233" s="35">
        <f>IF($A238="","",IF(AND($M238=1,$J238&lt;&gt;""),$J238-IF($K238="",0,$K238),""))</f>
        <v/>
      </c>
    </row>
    <row r="234" ht="15" customHeight="1" s="27">
      <c r="A234" s="34" t="n"/>
      <c r="B234" s="26" t="n"/>
      <c r="C234" s="26" t="n"/>
      <c r="D234" s="26" t="n"/>
      <c r="E234" s="26" t="n"/>
      <c r="F234" s="26" t="n"/>
      <c r="G234" s="35" t="n"/>
      <c r="H234" s="26" t="n"/>
      <c r="I234" s="34" t="n"/>
      <c r="J234" s="35">
        <f>IF($G239="","",$G239*0.15)</f>
        <v/>
      </c>
      <c r="K234" s="35" t="n"/>
      <c r="L234" s="26" t="n"/>
      <c r="M234" s="36">
        <f>IF($A239="","",IF(OR($H239="delivered",$H239="invoiced",$H239="paid"),1,0))</f>
        <v/>
      </c>
      <c r="N234" s="35">
        <f>IF($A239="","",IF(AND($M239=1,$J239&lt;&gt;""),$J239-IF($K239="",0,$K239),""))</f>
        <v/>
      </c>
    </row>
    <row r="235" ht="15" customHeight="1" s="27">
      <c r="A235" s="34" t="n"/>
      <c r="B235" s="26" t="n"/>
      <c r="C235" s="26" t="n"/>
      <c r="D235" s="26" t="n"/>
      <c r="E235" s="26" t="n"/>
      <c r="F235" s="26" t="n"/>
      <c r="G235" s="35" t="n"/>
      <c r="H235" s="26" t="n"/>
      <c r="I235" s="34" t="n"/>
      <c r="J235" s="35">
        <f>IF($G240="","",$G240*0.15)</f>
        <v/>
      </c>
      <c r="K235" s="35" t="n"/>
      <c r="L235" s="26" t="n"/>
      <c r="M235" s="36">
        <f>IF($A240="","",IF(OR($H240="delivered",$H240="invoiced",$H240="paid"),1,0))</f>
        <v/>
      </c>
      <c r="N235" s="35">
        <f>IF($A240="","",IF(AND($M240=1,$J240&lt;&gt;""),$J240-IF($K240="",0,$K240),""))</f>
        <v/>
      </c>
    </row>
    <row r="236" ht="15" customHeight="1" s="27">
      <c r="A236" s="34" t="n"/>
      <c r="B236" s="26" t="n"/>
      <c r="C236" s="26" t="n"/>
      <c r="D236" s="26" t="n"/>
      <c r="E236" s="26" t="n"/>
      <c r="F236" s="26" t="n"/>
      <c r="G236" s="35" t="n"/>
      <c r="H236" s="26" t="n"/>
      <c r="I236" s="34" t="n"/>
      <c r="J236" s="35">
        <f>IF($G241="","",$G241*0.15)</f>
        <v/>
      </c>
      <c r="K236" s="35" t="n"/>
      <c r="L236" s="26" t="n"/>
      <c r="M236" s="36">
        <f>IF($A241="","",IF(OR($H241="delivered",$H241="invoiced",$H241="paid"),1,0))</f>
        <v/>
      </c>
      <c r="N236" s="35">
        <f>IF($A241="","",IF(AND($M241=1,$J241&lt;&gt;""),$J241-IF($K241="",0,$K241),""))</f>
        <v/>
      </c>
    </row>
    <row r="237" ht="15" customHeight="1" s="27">
      <c r="A237" s="34" t="n"/>
      <c r="B237" s="26" t="n"/>
      <c r="C237" s="26" t="n"/>
      <c r="D237" s="26" t="n"/>
      <c r="E237" s="26" t="n"/>
      <c r="F237" s="26" t="n"/>
      <c r="G237" s="35" t="n"/>
      <c r="H237" s="26" t="n"/>
      <c r="I237" s="34" t="n"/>
      <c r="J237" s="35">
        <f>IF($G242="","",$G242*0.15)</f>
        <v/>
      </c>
      <c r="K237" s="35" t="n"/>
      <c r="L237" s="26" t="n"/>
      <c r="M237" s="36">
        <f>IF($A242="","",IF(OR($H242="delivered",$H242="invoiced",$H242="paid"),1,0))</f>
        <v/>
      </c>
      <c r="N237" s="35">
        <f>IF($A242="","",IF(AND($M242=1,$J242&lt;&gt;""),$J242-IF($K242="",0,$K242),""))</f>
        <v/>
      </c>
    </row>
    <row r="238" ht="15" customHeight="1" s="27">
      <c r="A238" s="34" t="n"/>
      <c r="B238" s="26" t="n"/>
      <c r="C238" s="26" t="n"/>
      <c r="D238" s="26" t="n"/>
      <c r="E238" s="26" t="n"/>
      <c r="F238" s="26" t="n"/>
      <c r="G238" s="35" t="n"/>
      <c r="H238" s="26" t="n"/>
      <c r="I238" s="34" t="n"/>
      <c r="J238" s="35">
        <f>IF($G243="","",$G243*0.15)</f>
        <v/>
      </c>
      <c r="K238" s="35" t="n"/>
      <c r="L238" s="26" t="n"/>
      <c r="M238" s="36">
        <f>IF($A243="","",IF(OR($H243="delivered",$H243="invoiced",$H243="paid"),1,0))</f>
        <v/>
      </c>
      <c r="N238" s="35">
        <f>IF($A243="","",IF(AND($M243=1,$J243&lt;&gt;""),$J243-IF($K243="",0,$K243),""))</f>
        <v/>
      </c>
    </row>
    <row r="239" ht="15" customHeight="1" s="27">
      <c r="A239" s="34" t="n"/>
      <c r="B239" s="26" t="n"/>
      <c r="C239" s="26" t="n"/>
      <c r="D239" s="26" t="n"/>
      <c r="E239" s="26" t="n"/>
      <c r="F239" s="26" t="n"/>
      <c r="G239" s="35" t="n"/>
      <c r="H239" s="26" t="n"/>
      <c r="I239" s="34" t="n"/>
      <c r="J239" s="35">
        <f>IF($G244="","",$G244*0.15)</f>
        <v/>
      </c>
      <c r="K239" s="35" t="n"/>
      <c r="L239" s="26" t="n"/>
      <c r="M239" s="36">
        <f>IF($A244="","",IF(OR($H244="delivered",$H244="invoiced",$H244="paid"),1,0))</f>
        <v/>
      </c>
      <c r="N239" s="35">
        <f>IF($A244="","",IF(AND($M244=1,$J244&lt;&gt;""),$J244-IF($K244="",0,$K244),""))</f>
        <v/>
      </c>
    </row>
    <row r="240" ht="15" customHeight="1" s="27">
      <c r="A240" s="34" t="n"/>
      <c r="B240" s="26" t="n"/>
      <c r="C240" s="26" t="n"/>
      <c r="D240" s="26" t="n"/>
      <c r="E240" s="26" t="n"/>
      <c r="F240" s="26" t="n"/>
      <c r="G240" s="35" t="n"/>
      <c r="H240" s="26" t="n"/>
      <c r="I240" s="34" t="n"/>
      <c r="J240" s="35">
        <f>IF($G245="","",$G245*0.15)</f>
        <v/>
      </c>
      <c r="K240" s="35" t="n"/>
      <c r="L240" s="26" t="n"/>
      <c r="M240" s="36">
        <f>IF($A245="","",IF(OR($H245="delivered",$H245="invoiced",$H245="paid"),1,0))</f>
        <v/>
      </c>
      <c r="N240" s="35">
        <f>IF($A245="","",IF(AND($M245=1,$J245&lt;&gt;""),$J245-IF($K245="",0,$K245),""))</f>
        <v/>
      </c>
    </row>
    <row r="241" ht="15" customHeight="1" s="27">
      <c r="A241" s="34" t="n"/>
      <c r="B241" s="26" t="n"/>
      <c r="C241" s="26" t="n"/>
      <c r="D241" s="26" t="n"/>
      <c r="E241" s="26" t="n"/>
      <c r="F241" s="26" t="n"/>
      <c r="G241" s="35" t="n"/>
      <c r="H241" s="26" t="n"/>
      <c r="I241" s="34" t="n"/>
      <c r="J241" s="35">
        <f>IF($G246="","",$G246*0.15)</f>
        <v/>
      </c>
      <c r="K241" s="35" t="n"/>
      <c r="L241" s="26" t="n"/>
      <c r="M241" s="36">
        <f>IF($A246="","",IF(OR($H246="delivered",$H246="invoiced",$H246="paid"),1,0))</f>
        <v/>
      </c>
      <c r="N241" s="35">
        <f>IF($A246="","",IF(AND($M246=1,$J246&lt;&gt;""),$J246-IF($K246="",0,$K246),""))</f>
        <v/>
      </c>
    </row>
    <row r="242" ht="15" customHeight="1" s="27">
      <c r="A242" s="34" t="n"/>
      <c r="B242" s="26" t="n"/>
      <c r="C242" s="26" t="n"/>
      <c r="D242" s="26" t="n"/>
      <c r="E242" s="26" t="n"/>
      <c r="F242" s="26" t="n"/>
      <c r="G242" s="35" t="n"/>
      <c r="H242" s="26" t="n"/>
      <c r="I242" s="34" t="n"/>
      <c r="J242" s="35">
        <f>IF($G247="","",$G247*0.15)</f>
        <v/>
      </c>
      <c r="K242" s="35" t="n"/>
      <c r="L242" s="26" t="n"/>
      <c r="M242" s="36">
        <f>IF($A247="","",IF(OR($H247="delivered",$H247="invoiced",$H247="paid"),1,0))</f>
        <v/>
      </c>
      <c r="N242" s="35">
        <f>IF($A247="","",IF(AND($M247=1,$J247&lt;&gt;""),$J247-IF($K247="",0,$K247),""))</f>
        <v/>
      </c>
    </row>
    <row r="243" ht="15" customHeight="1" s="27">
      <c r="A243" s="34" t="n"/>
      <c r="B243" s="26" t="n"/>
      <c r="C243" s="26" t="n"/>
      <c r="D243" s="26" t="n"/>
      <c r="E243" s="26" t="n"/>
      <c r="F243" s="26" t="n"/>
      <c r="G243" s="35" t="n"/>
      <c r="H243" s="26" t="n"/>
      <c r="I243" s="34" t="n"/>
      <c r="J243" s="35">
        <f>IF($G248="","",$G248*0.15)</f>
        <v/>
      </c>
      <c r="K243" s="35" t="n"/>
      <c r="L243" s="26" t="n"/>
      <c r="M243" s="36">
        <f>IF($A248="","",IF(OR($H248="delivered",$H248="invoiced",$H248="paid"),1,0))</f>
        <v/>
      </c>
      <c r="N243" s="35">
        <f>IF($A248="","",IF(AND($M248=1,$J248&lt;&gt;""),$J248-IF($K248="",0,$K248),""))</f>
        <v/>
      </c>
    </row>
    <row r="244" ht="15" customHeight="1" s="27">
      <c r="A244" s="34" t="n"/>
      <c r="B244" s="26" t="n"/>
      <c r="C244" s="26" t="n"/>
      <c r="D244" s="26" t="n"/>
      <c r="E244" s="26" t="n"/>
      <c r="F244" s="26" t="n"/>
      <c r="G244" s="35" t="n"/>
      <c r="H244" s="26" t="n"/>
      <c r="I244" s="34" t="n"/>
      <c r="J244" s="35">
        <f>IF($G249="","",$G249*0.15)</f>
        <v/>
      </c>
      <c r="K244" s="35" t="n"/>
      <c r="L244" s="26" t="n"/>
      <c r="M244" s="36">
        <f>IF($A249="","",IF(OR($H249="delivered",$H249="invoiced",$H249="paid"),1,0))</f>
        <v/>
      </c>
      <c r="N244" s="35">
        <f>IF($A249="","",IF(AND($M249=1,$J249&lt;&gt;""),$J249-IF($K249="",0,$K249),""))</f>
        <v/>
      </c>
    </row>
    <row r="245" ht="15" customHeight="1" s="27">
      <c r="A245" s="34" t="n"/>
      <c r="B245" s="26" t="n"/>
      <c r="C245" s="26" t="n"/>
      <c r="D245" s="26" t="n"/>
      <c r="E245" s="26" t="n"/>
      <c r="F245" s="26" t="n"/>
      <c r="G245" s="35" t="n"/>
      <c r="H245" s="26" t="n"/>
      <c r="I245" s="34" t="n"/>
      <c r="J245" s="35">
        <f>IF($G250="","",$G250*0.15)</f>
        <v/>
      </c>
      <c r="K245" s="35" t="n"/>
      <c r="L245" s="26" t="n"/>
      <c r="M245" s="36">
        <f>IF($A250="","",IF(OR($H250="delivered",$H250="invoiced",$H250="paid"),1,0))</f>
        <v/>
      </c>
      <c r="N245" s="35">
        <f>IF($A250="","",IF(AND($M250=1,$J250&lt;&gt;""),$J250-IF($K250="",0,$K250),""))</f>
        <v/>
      </c>
    </row>
    <row r="246" ht="15" customHeight="1" s="27">
      <c r="A246" s="34" t="n"/>
      <c r="B246" s="26" t="n"/>
      <c r="C246" s="26" t="n"/>
      <c r="D246" s="26" t="n"/>
      <c r="E246" s="26" t="n"/>
      <c r="F246" s="26" t="n"/>
      <c r="G246" s="35" t="n"/>
      <c r="H246" s="26" t="n"/>
      <c r="I246" s="34" t="n"/>
      <c r="J246" s="35">
        <f>IF($G251="","",$G251*0.15)</f>
        <v/>
      </c>
      <c r="K246" s="35" t="n"/>
      <c r="L246" s="26" t="n"/>
      <c r="M246" s="36">
        <f>IF($A251="","",IF(OR($H251="delivered",$H251="invoiced",$H251="paid"),1,0))</f>
        <v/>
      </c>
      <c r="N246" s="35">
        <f>IF($A251="","",IF(AND($M251=1,$J251&lt;&gt;""),$J251-IF($K251="",0,$K251),""))</f>
        <v/>
      </c>
    </row>
    <row r="247" ht="15" customHeight="1" s="27">
      <c r="A247" s="34" t="n"/>
      <c r="B247" s="26" t="n"/>
      <c r="C247" s="26" t="n"/>
      <c r="D247" s="26" t="n"/>
      <c r="E247" s="26" t="n"/>
      <c r="F247" s="26" t="n"/>
      <c r="G247" s="35" t="n"/>
      <c r="H247" s="26" t="n"/>
      <c r="I247" s="34" t="n"/>
      <c r="J247" s="35">
        <f>IF($G252="","",$G252*0.15)</f>
        <v/>
      </c>
      <c r="K247" s="35" t="n"/>
      <c r="L247" s="26" t="n"/>
      <c r="M247" s="36">
        <f>IF($A252="","",IF(OR($H252="delivered",$H252="invoiced",$H252="paid"),1,0))</f>
        <v/>
      </c>
      <c r="N247" s="35">
        <f>IF($A252="","",IF(AND($M252=1,$J252&lt;&gt;""),$J252-IF($K252="",0,$K252),""))</f>
        <v/>
      </c>
    </row>
    <row r="248" ht="15" customHeight="1" s="27">
      <c r="A248" s="34" t="n"/>
      <c r="B248" s="26" t="n"/>
      <c r="C248" s="26" t="n"/>
      <c r="D248" s="26" t="n"/>
      <c r="E248" s="26" t="n"/>
      <c r="F248" s="26" t="n"/>
      <c r="G248" s="35" t="n"/>
      <c r="H248" s="26" t="n"/>
      <c r="I248" s="34" t="n"/>
      <c r="J248" s="35">
        <f>IF($G253="","",$G253*0.15)</f>
        <v/>
      </c>
      <c r="K248" s="35" t="n"/>
      <c r="L248" s="26" t="n"/>
      <c r="M248" s="36">
        <f>IF($A253="","",IF(OR($H253="delivered",$H253="invoiced",$H253="paid"),1,0))</f>
        <v/>
      </c>
      <c r="N248" s="35">
        <f>IF($A253="","",IF(AND($M253=1,$J253&lt;&gt;""),$J253-IF($K253="",0,$K253),""))</f>
        <v/>
      </c>
    </row>
    <row r="249" ht="15" customHeight="1" s="27">
      <c r="A249" s="34" t="n"/>
      <c r="B249" s="26" t="n"/>
      <c r="C249" s="26" t="n"/>
      <c r="D249" s="26" t="n"/>
      <c r="E249" s="26" t="n"/>
      <c r="F249" s="26" t="n"/>
      <c r="G249" s="35" t="n"/>
      <c r="H249" s="26" t="n"/>
      <c r="I249" s="34" t="n"/>
      <c r="J249" s="35">
        <f>IF($G254="","",$G254*0.15)</f>
        <v/>
      </c>
      <c r="K249" s="35" t="n"/>
      <c r="L249" s="26" t="n"/>
      <c r="M249" s="36">
        <f>IF($A254="","",IF(OR($H254="delivered",$H254="invoiced",$H254="paid"),1,0))</f>
        <v/>
      </c>
      <c r="N249" s="35">
        <f>IF($A254="","",IF(AND($M254=1,$J254&lt;&gt;""),$J254-IF($K254="",0,$K254),""))</f>
        <v/>
      </c>
    </row>
    <row r="250" ht="15" customHeight="1" s="27">
      <c r="A250" s="34" t="n"/>
      <c r="B250" s="26" t="n"/>
      <c r="C250" s="26" t="n"/>
      <c r="D250" s="26" t="n"/>
      <c r="E250" s="26" t="n"/>
      <c r="F250" s="26" t="n"/>
      <c r="G250" s="35" t="n"/>
      <c r="H250" s="26" t="n"/>
      <c r="I250" s="34" t="n"/>
      <c r="J250" s="35">
        <f>IF($G255="","",$G255*0.15)</f>
        <v/>
      </c>
      <c r="K250" s="35" t="n"/>
      <c r="L250" s="26" t="n"/>
      <c r="M250" s="36">
        <f>IF($A255="","",IF(OR($H255="delivered",$H255="invoiced",$H255="paid"),1,0))</f>
        <v/>
      </c>
      <c r="N250" s="35">
        <f>IF($A255="","",IF(AND($M255=1,$J255&lt;&gt;""),$J255-IF($K255="",0,$K255),""))</f>
        <v/>
      </c>
    </row>
    <row r="251" ht="15" customHeight="1" s="27">
      <c r="A251" s="34" t="n"/>
      <c r="B251" s="26" t="n"/>
      <c r="C251" s="26" t="n"/>
      <c r="D251" s="26" t="n"/>
      <c r="E251" s="26" t="n"/>
      <c r="F251" s="26" t="n"/>
      <c r="G251" s="35" t="n"/>
      <c r="H251" s="26" t="n"/>
      <c r="I251" s="34" t="n"/>
      <c r="J251" s="35">
        <f>IF($G256="","",$G256*0.15)</f>
        <v/>
      </c>
      <c r="K251" s="35" t="n"/>
      <c r="L251" s="26" t="n"/>
      <c r="M251" s="36">
        <f>IF($A256="","",IF(OR($H256="delivered",$H256="invoiced",$H256="paid"),1,0))</f>
        <v/>
      </c>
      <c r="N251" s="35">
        <f>IF($A256="","",IF(AND($M256=1,$J256&lt;&gt;""),$J256-IF($K256="",0,$K256),""))</f>
        <v/>
      </c>
    </row>
    <row r="252" ht="15" customHeight="1" s="27">
      <c r="A252" s="34" t="n"/>
      <c r="B252" s="26" t="n"/>
      <c r="C252" s="26" t="n"/>
      <c r="D252" s="26" t="n"/>
      <c r="E252" s="26" t="n"/>
      <c r="F252" s="26" t="n"/>
      <c r="G252" s="35" t="n"/>
      <c r="H252" s="26" t="n"/>
      <c r="I252" s="34" t="n"/>
      <c r="J252" s="35">
        <f>IF($G257="","",$G257*0.15)</f>
        <v/>
      </c>
      <c r="K252" s="35" t="n"/>
      <c r="L252" s="26" t="n"/>
      <c r="M252" s="36">
        <f>IF($A257="","",IF(OR($H257="delivered",$H257="invoiced",$H257="paid"),1,0))</f>
        <v/>
      </c>
      <c r="N252" s="35">
        <f>IF($A257="","",IF(AND($M257=1,$J257&lt;&gt;""),$J257-IF($K257="",0,$K257),""))</f>
        <v/>
      </c>
    </row>
    <row r="253" ht="15" customHeight="1" s="27">
      <c r="A253" s="34" t="n"/>
      <c r="B253" s="26" t="n"/>
      <c r="C253" s="26" t="n"/>
      <c r="D253" s="26" t="n"/>
      <c r="E253" s="26" t="n"/>
      <c r="F253" s="26" t="n"/>
      <c r="G253" s="35" t="n"/>
      <c r="H253" s="26" t="n"/>
      <c r="I253" s="34" t="n"/>
      <c r="J253" s="35">
        <f>IF($G258="","",$G258*0.15)</f>
        <v/>
      </c>
      <c r="K253" s="35" t="n"/>
      <c r="L253" s="26" t="n"/>
      <c r="M253" s="36">
        <f>IF($A258="","",IF(OR($H258="delivered",$H258="invoiced",$H258="paid"),1,0))</f>
        <v/>
      </c>
      <c r="N253" s="35">
        <f>IF($A258="","",IF(AND($M258=1,$J258&lt;&gt;""),$J258-IF($K258="",0,$K258),""))</f>
        <v/>
      </c>
    </row>
    <row r="254" ht="15" customHeight="1" s="27">
      <c r="A254" s="34" t="n"/>
      <c r="B254" s="26" t="n"/>
      <c r="C254" s="26" t="n"/>
      <c r="D254" s="26" t="n"/>
      <c r="E254" s="26" t="n"/>
      <c r="F254" s="26" t="n"/>
      <c r="G254" s="35" t="n"/>
      <c r="H254" s="26" t="n"/>
      <c r="I254" s="34" t="n"/>
      <c r="J254" s="35">
        <f>IF($G259="","",$G259*0.15)</f>
        <v/>
      </c>
      <c r="K254" s="35" t="n"/>
      <c r="L254" s="26" t="n"/>
      <c r="M254" s="36">
        <f>IF($A259="","",IF(OR($H259="delivered",$H259="invoiced",$H259="paid"),1,0))</f>
        <v/>
      </c>
      <c r="N254" s="35">
        <f>IF($A259="","",IF(AND($M259=1,$J259&lt;&gt;""),$J259-IF($K259="",0,$K259),""))</f>
        <v/>
      </c>
    </row>
    <row r="255" ht="15" customHeight="1" s="27">
      <c r="A255" s="34" t="n"/>
      <c r="B255" s="26" t="n"/>
      <c r="C255" s="26" t="n"/>
      <c r="D255" s="26" t="n"/>
      <c r="E255" s="26" t="n"/>
      <c r="F255" s="26" t="n"/>
      <c r="G255" s="35" t="n"/>
      <c r="H255" s="26" t="n"/>
      <c r="I255" s="34" t="n"/>
      <c r="J255" s="35">
        <f>IF($G260="","",$G260*0.15)</f>
        <v/>
      </c>
      <c r="K255" s="35" t="n"/>
      <c r="L255" s="26" t="n"/>
      <c r="M255" s="36">
        <f>IF($A260="","",IF(OR($H260="delivered",$H260="invoiced",$H260="paid"),1,0))</f>
        <v/>
      </c>
      <c r="N255" s="35">
        <f>IF($A260="","",IF(AND($M260=1,$J260&lt;&gt;""),$J260-IF($K260="",0,$K260),""))</f>
        <v/>
      </c>
    </row>
    <row r="256" ht="15" customHeight="1" s="27">
      <c r="A256" s="34" t="n"/>
      <c r="B256" s="26" t="n"/>
      <c r="C256" s="26" t="n"/>
      <c r="D256" s="26" t="n"/>
      <c r="E256" s="26" t="n"/>
      <c r="F256" s="26" t="n"/>
      <c r="G256" s="35" t="n"/>
      <c r="H256" s="26" t="n"/>
      <c r="I256" s="34" t="n"/>
      <c r="J256" s="35">
        <f>IF($G261="","",$G261*0.15)</f>
        <v/>
      </c>
      <c r="K256" s="35" t="n"/>
      <c r="L256" s="26" t="n"/>
      <c r="M256" s="36">
        <f>IF($A261="","",IF(OR($H261="delivered",$H261="invoiced",$H261="paid"),1,0))</f>
        <v/>
      </c>
      <c r="N256" s="35">
        <f>IF($A261="","",IF(AND($M261=1,$J261&lt;&gt;""),$J261-IF($K261="",0,$K261),""))</f>
        <v/>
      </c>
    </row>
    <row r="257" ht="15" customHeight="1" s="27">
      <c r="A257" s="34" t="n"/>
      <c r="B257" s="26" t="n"/>
      <c r="C257" s="26" t="n"/>
      <c r="D257" s="26" t="n"/>
      <c r="E257" s="26" t="n"/>
      <c r="F257" s="26" t="n"/>
      <c r="G257" s="35" t="n"/>
      <c r="H257" s="26" t="n"/>
      <c r="I257" s="34" t="n"/>
      <c r="J257" s="35">
        <f>IF($G262="","",$G262*0.15)</f>
        <v/>
      </c>
      <c r="K257" s="35" t="n"/>
      <c r="L257" s="26" t="n"/>
      <c r="M257" s="36">
        <f>IF($A262="","",IF(OR($H262="delivered",$H262="invoiced",$H262="paid"),1,0))</f>
        <v/>
      </c>
      <c r="N257" s="35">
        <f>IF($A262="","",IF(AND($M262=1,$J262&lt;&gt;""),$J262-IF($K262="",0,$K262),""))</f>
        <v/>
      </c>
    </row>
    <row r="258" ht="15" customHeight="1" s="27">
      <c r="A258" s="34" t="n"/>
      <c r="B258" s="26" t="n"/>
      <c r="C258" s="26" t="n"/>
      <c r="D258" s="26" t="n"/>
      <c r="E258" s="26" t="n"/>
      <c r="F258" s="26" t="n"/>
      <c r="G258" s="35" t="n"/>
      <c r="H258" s="26" t="n"/>
      <c r="I258" s="34" t="n"/>
      <c r="J258" s="35">
        <f>IF($G263="","",$G263*0.15)</f>
        <v/>
      </c>
      <c r="K258" s="35" t="n"/>
      <c r="L258" s="26" t="n"/>
      <c r="M258" s="36">
        <f>IF($A263="","",IF(OR($H263="delivered",$H263="invoiced",$H263="paid"),1,0))</f>
        <v/>
      </c>
      <c r="N258" s="35">
        <f>IF($A263="","",IF(AND($M263=1,$J263&lt;&gt;""),$J263-IF($K263="",0,$K263),""))</f>
        <v/>
      </c>
    </row>
    <row r="259" ht="15" customHeight="1" s="27">
      <c r="A259" s="34" t="n"/>
      <c r="B259" s="26" t="n"/>
      <c r="C259" s="26" t="n"/>
      <c r="D259" s="26" t="n"/>
      <c r="E259" s="26" t="n"/>
      <c r="F259" s="26" t="n"/>
      <c r="G259" s="35" t="n"/>
      <c r="H259" s="26" t="n"/>
      <c r="I259" s="34" t="n"/>
      <c r="J259" s="35">
        <f>IF($G264="","",$G264*0.15)</f>
        <v/>
      </c>
      <c r="K259" s="35" t="n"/>
      <c r="L259" s="26" t="n"/>
      <c r="M259" s="36">
        <f>IF($A264="","",IF(OR($H264="delivered",$H264="invoiced",$H264="paid"),1,0))</f>
        <v/>
      </c>
      <c r="N259" s="35">
        <f>IF($A264="","",IF(AND($M264=1,$J264&lt;&gt;""),$J264-IF($K264="",0,$K264),""))</f>
        <v/>
      </c>
    </row>
    <row r="260" ht="15" customHeight="1" s="27">
      <c r="A260" s="34" t="n"/>
      <c r="B260" s="26" t="n"/>
      <c r="C260" s="26" t="n"/>
      <c r="D260" s="26" t="n"/>
      <c r="E260" s="26" t="n"/>
      <c r="F260" s="26" t="n"/>
      <c r="G260" s="35" t="n"/>
      <c r="H260" s="26" t="n"/>
      <c r="I260" s="34" t="n"/>
      <c r="J260" s="35">
        <f>IF($G265="","",$G265*0.15)</f>
        <v/>
      </c>
      <c r="K260" s="35" t="n"/>
      <c r="L260" s="26" t="n"/>
      <c r="M260" s="36">
        <f>IF($A265="","",IF(OR($H265="delivered",$H265="invoiced",$H265="paid"),1,0))</f>
        <v/>
      </c>
      <c r="N260" s="35">
        <f>IF($A265="","",IF(AND($M265=1,$J265&lt;&gt;""),$J265-IF($K265="",0,$K265),""))</f>
        <v/>
      </c>
    </row>
    <row r="261" ht="15" customHeight="1" s="27">
      <c r="A261" s="34" t="n"/>
      <c r="B261" s="26" t="n"/>
      <c r="C261" s="26" t="n"/>
      <c r="D261" s="26" t="n"/>
      <c r="E261" s="26" t="n"/>
      <c r="F261" s="26" t="n"/>
      <c r="G261" s="35" t="n"/>
      <c r="H261" s="26" t="n"/>
      <c r="I261" s="34" t="n"/>
      <c r="J261" s="35">
        <f>IF($G266="","",$G266*0.15)</f>
        <v/>
      </c>
      <c r="K261" s="35" t="n"/>
      <c r="L261" s="26" t="n"/>
      <c r="M261" s="36">
        <f>IF($A266="","",IF(OR($H266="delivered",$H266="invoiced",$H266="paid"),1,0))</f>
        <v/>
      </c>
      <c r="N261" s="35">
        <f>IF($A266="","",IF(AND($M266=1,$J266&lt;&gt;""),$J266-IF($K266="",0,$K266),""))</f>
        <v/>
      </c>
    </row>
    <row r="262" ht="15" customHeight="1" s="27">
      <c r="A262" s="34" t="n"/>
      <c r="B262" s="26" t="n"/>
      <c r="C262" s="26" t="n"/>
      <c r="D262" s="26" t="n"/>
      <c r="E262" s="26" t="n"/>
      <c r="F262" s="26" t="n"/>
      <c r="G262" s="35" t="n"/>
      <c r="H262" s="26" t="n"/>
      <c r="I262" s="34" t="n"/>
      <c r="J262" s="35">
        <f>IF($G267="","",$G267*0.15)</f>
        <v/>
      </c>
      <c r="K262" s="35" t="n"/>
      <c r="L262" s="26" t="n"/>
      <c r="M262" s="36">
        <f>IF($A267="","",IF(OR($H267="delivered",$H267="invoiced",$H267="paid"),1,0))</f>
        <v/>
      </c>
      <c r="N262" s="35">
        <f>IF($A267="","",IF(AND($M267=1,$J267&lt;&gt;""),$J267-IF($K267="",0,$K267),""))</f>
        <v/>
      </c>
    </row>
    <row r="263" ht="15" customHeight="1" s="27">
      <c r="A263" s="34" t="n"/>
      <c r="B263" s="26" t="n"/>
      <c r="C263" s="26" t="n"/>
      <c r="D263" s="26" t="n"/>
      <c r="E263" s="26" t="n"/>
      <c r="F263" s="26" t="n"/>
      <c r="G263" s="35" t="n"/>
      <c r="H263" s="26" t="n"/>
      <c r="I263" s="34" t="n"/>
      <c r="J263" s="35">
        <f>IF($G268="","",$G268*0.15)</f>
        <v/>
      </c>
      <c r="K263" s="35" t="n"/>
      <c r="L263" s="26" t="n"/>
      <c r="M263" s="36">
        <f>IF($A268="","",IF(OR($H268="delivered",$H268="invoiced",$H268="paid"),1,0))</f>
        <v/>
      </c>
      <c r="N263" s="35">
        <f>IF($A268="","",IF(AND($M268=1,$J268&lt;&gt;""),$J268-IF($K268="",0,$K268),""))</f>
        <v/>
      </c>
    </row>
    <row r="264" ht="15" customHeight="1" s="27">
      <c r="A264" s="34" t="n"/>
      <c r="B264" s="26" t="n"/>
      <c r="C264" s="26" t="n"/>
      <c r="D264" s="26" t="n"/>
      <c r="E264" s="26" t="n"/>
      <c r="F264" s="26" t="n"/>
      <c r="G264" s="35" t="n"/>
      <c r="H264" s="26" t="n"/>
      <c r="I264" s="34" t="n"/>
      <c r="J264" s="35">
        <f>IF($G269="","",$G269*0.15)</f>
        <v/>
      </c>
      <c r="K264" s="35" t="n"/>
      <c r="L264" s="26" t="n"/>
      <c r="M264" s="36">
        <f>IF($A269="","",IF(OR($H269="delivered",$H269="invoiced",$H269="paid"),1,0))</f>
        <v/>
      </c>
      <c r="N264" s="35">
        <f>IF($A269="","",IF(AND($M269=1,$J269&lt;&gt;""),$J269-IF($K269="",0,$K269),""))</f>
        <v/>
      </c>
    </row>
    <row r="265" ht="15" customHeight="1" s="27">
      <c r="A265" s="34" t="n"/>
      <c r="B265" s="26" t="n"/>
      <c r="C265" s="26" t="n"/>
      <c r="D265" s="26" t="n"/>
      <c r="E265" s="26" t="n"/>
      <c r="F265" s="26" t="n"/>
      <c r="G265" s="35" t="n"/>
      <c r="H265" s="26" t="n"/>
      <c r="I265" s="34" t="n"/>
      <c r="J265" s="35">
        <f>IF($G270="","",$G270*0.15)</f>
        <v/>
      </c>
      <c r="K265" s="35" t="n"/>
      <c r="L265" s="26" t="n"/>
      <c r="M265" s="36">
        <f>IF($A270="","",IF(OR($H270="delivered",$H270="invoiced",$H270="paid"),1,0))</f>
        <v/>
      </c>
      <c r="N265" s="35">
        <f>IF($A270="","",IF(AND($M270=1,$J270&lt;&gt;""),$J270-IF($K270="",0,$K270),""))</f>
        <v/>
      </c>
    </row>
    <row r="266" ht="15" customHeight="1" s="27">
      <c r="A266" s="34" t="n"/>
      <c r="B266" s="26" t="n"/>
      <c r="C266" s="26" t="n"/>
      <c r="D266" s="26" t="n"/>
      <c r="E266" s="26" t="n"/>
      <c r="F266" s="26" t="n"/>
      <c r="G266" s="35" t="n"/>
      <c r="H266" s="26" t="n"/>
      <c r="I266" s="34" t="n"/>
      <c r="J266" s="35">
        <f>IF($G271="","",$G271*0.15)</f>
        <v/>
      </c>
      <c r="K266" s="35" t="n"/>
      <c r="L266" s="26" t="n"/>
      <c r="M266" s="36">
        <f>IF($A271="","",IF(OR($H271="delivered",$H271="invoiced",$H271="paid"),1,0))</f>
        <v/>
      </c>
      <c r="N266" s="35">
        <f>IF($A271="","",IF(AND($M271=1,$J271&lt;&gt;""),$J271-IF($K271="",0,$K271),""))</f>
        <v/>
      </c>
    </row>
    <row r="267" ht="15" customHeight="1" s="27">
      <c r="A267" s="34" t="n"/>
      <c r="B267" s="26" t="n"/>
      <c r="C267" s="26" t="n"/>
      <c r="D267" s="26" t="n"/>
      <c r="E267" s="26" t="n"/>
      <c r="F267" s="26" t="n"/>
      <c r="G267" s="35" t="n"/>
      <c r="H267" s="26" t="n"/>
      <c r="I267" s="34" t="n"/>
      <c r="J267" s="35">
        <f>IF($G272="","",$G272*0.15)</f>
        <v/>
      </c>
      <c r="K267" s="35" t="n"/>
      <c r="L267" s="26" t="n"/>
      <c r="M267" s="36">
        <f>IF($A272="","",IF(OR($H272="delivered",$H272="invoiced",$H272="paid"),1,0))</f>
        <v/>
      </c>
      <c r="N267" s="35">
        <f>IF($A272="","",IF(AND($M272=1,$J272&lt;&gt;""),$J272-IF($K272="",0,$K272),""))</f>
        <v/>
      </c>
    </row>
    <row r="268" ht="15" customHeight="1" s="27">
      <c r="A268" s="34" t="n"/>
      <c r="B268" s="26" t="n"/>
      <c r="C268" s="26" t="n"/>
      <c r="D268" s="26" t="n"/>
      <c r="E268" s="26" t="n"/>
      <c r="F268" s="26" t="n"/>
      <c r="G268" s="35" t="n"/>
      <c r="H268" s="26" t="n"/>
      <c r="I268" s="34" t="n"/>
      <c r="J268" s="35">
        <f>IF($G273="","",$G273*0.15)</f>
        <v/>
      </c>
      <c r="K268" s="35" t="n"/>
      <c r="L268" s="26" t="n"/>
      <c r="M268" s="36">
        <f>IF($A273="","",IF(OR($H273="delivered",$H273="invoiced",$H273="paid"),1,0))</f>
        <v/>
      </c>
      <c r="N268" s="35">
        <f>IF($A273="","",IF(AND($M273=1,$J273&lt;&gt;""),$J273-IF($K273="",0,$K273),""))</f>
        <v/>
      </c>
    </row>
    <row r="269" ht="15" customHeight="1" s="27">
      <c r="A269" s="34" t="n"/>
      <c r="B269" s="26" t="n"/>
      <c r="C269" s="26" t="n"/>
      <c r="D269" s="26" t="n"/>
      <c r="E269" s="26" t="n"/>
      <c r="F269" s="26" t="n"/>
      <c r="G269" s="35" t="n"/>
      <c r="H269" s="26" t="n"/>
      <c r="I269" s="34" t="n"/>
      <c r="J269" s="35">
        <f>IF($G274="","",$G274*0.15)</f>
        <v/>
      </c>
      <c r="K269" s="35" t="n"/>
      <c r="L269" s="26" t="n"/>
      <c r="M269" s="36">
        <f>IF($A274="","",IF(OR($H274="delivered",$H274="invoiced",$H274="paid"),1,0))</f>
        <v/>
      </c>
      <c r="N269" s="35">
        <f>IF($A274="","",IF(AND($M274=1,$J274&lt;&gt;""),$J274-IF($K274="",0,$K274),""))</f>
        <v/>
      </c>
    </row>
    <row r="270" ht="15" customHeight="1" s="27">
      <c r="A270" s="34" t="n"/>
      <c r="B270" s="26" t="n"/>
      <c r="C270" s="26" t="n"/>
      <c r="D270" s="26" t="n"/>
      <c r="E270" s="26" t="n"/>
      <c r="F270" s="26" t="n"/>
      <c r="G270" s="35" t="n"/>
      <c r="H270" s="26" t="n"/>
      <c r="I270" s="34" t="n"/>
      <c r="J270" s="35">
        <f>IF($G275="","",$G275*0.15)</f>
        <v/>
      </c>
      <c r="K270" s="35" t="n"/>
      <c r="L270" s="26" t="n"/>
      <c r="M270" s="36">
        <f>IF($A275="","",IF(OR($H275="delivered",$H275="invoiced",$H275="paid"),1,0))</f>
        <v/>
      </c>
      <c r="N270" s="35">
        <f>IF($A275="","",IF(AND($M275=1,$J275&lt;&gt;""),$J275-IF($K275="",0,$K275),""))</f>
        <v/>
      </c>
    </row>
    <row r="271" ht="15" customHeight="1" s="27">
      <c r="A271" s="34" t="n"/>
      <c r="B271" s="26" t="n"/>
      <c r="C271" s="26" t="n"/>
      <c r="D271" s="26" t="n"/>
      <c r="E271" s="26" t="n"/>
      <c r="F271" s="26" t="n"/>
      <c r="G271" s="35" t="n"/>
      <c r="H271" s="26" t="n"/>
      <c r="I271" s="34" t="n"/>
      <c r="J271" s="35">
        <f>IF($G276="","",$G276*0.15)</f>
        <v/>
      </c>
      <c r="K271" s="35" t="n"/>
      <c r="L271" s="26" t="n"/>
      <c r="M271" s="36">
        <f>IF($A276="","",IF(OR($H276="delivered",$H276="invoiced",$H276="paid"),1,0))</f>
        <v/>
      </c>
      <c r="N271" s="35">
        <f>IF($A276="","",IF(AND($M276=1,$J276&lt;&gt;""),$J276-IF($K276="",0,$K276),""))</f>
        <v/>
      </c>
    </row>
    <row r="272" ht="15" customHeight="1" s="27">
      <c r="A272" s="34" t="n"/>
      <c r="B272" s="26" t="n"/>
      <c r="C272" s="26" t="n"/>
      <c r="D272" s="26" t="n"/>
      <c r="E272" s="26" t="n"/>
      <c r="F272" s="26" t="n"/>
      <c r="G272" s="35" t="n"/>
      <c r="H272" s="26" t="n"/>
      <c r="I272" s="34" t="n"/>
      <c r="J272" s="35">
        <f>IF($G277="","",$G277*0.15)</f>
        <v/>
      </c>
      <c r="K272" s="35" t="n"/>
      <c r="L272" s="26" t="n"/>
      <c r="M272" s="36">
        <f>IF($A277="","",IF(OR($H277="delivered",$H277="invoiced",$H277="paid"),1,0))</f>
        <v/>
      </c>
      <c r="N272" s="35">
        <f>IF($A277="","",IF(AND($M277=1,$J277&lt;&gt;""),$J277-IF($K277="",0,$K277),""))</f>
        <v/>
      </c>
    </row>
    <row r="273" ht="15" customHeight="1" s="27">
      <c r="A273" s="34" t="n"/>
      <c r="B273" s="26" t="n"/>
      <c r="C273" s="26" t="n"/>
      <c r="D273" s="26" t="n"/>
      <c r="E273" s="26" t="n"/>
      <c r="F273" s="26" t="n"/>
      <c r="G273" s="35" t="n"/>
      <c r="H273" s="26" t="n"/>
      <c r="I273" s="34" t="n"/>
      <c r="J273" s="35">
        <f>IF($G278="","",$G278*0.15)</f>
        <v/>
      </c>
      <c r="K273" s="35" t="n"/>
      <c r="L273" s="26" t="n"/>
      <c r="M273" s="36">
        <f>IF($A278="","",IF(OR($H278="delivered",$H278="invoiced",$H278="paid"),1,0))</f>
        <v/>
      </c>
      <c r="N273" s="35">
        <f>IF($A278="","",IF(AND($M278=1,$J278&lt;&gt;""),$J278-IF($K278="",0,$K278),""))</f>
        <v/>
      </c>
    </row>
    <row r="274" ht="15" customHeight="1" s="27">
      <c r="A274" s="34" t="n"/>
      <c r="B274" s="26" t="n"/>
      <c r="C274" s="26" t="n"/>
      <c r="D274" s="26" t="n"/>
      <c r="E274" s="26" t="n"/>
      <c r="F274" s="26" t="n"/>
      <c r="G274" s="35" t="n"/>
      <c r="H274" s="26" t="n"/>
      <c r="I274" s="34" t="n"/>
      <c r="J274" s="35">
        <f>IF($G279="","",$G279*0.15)</f>
        <v/>
      </c>
      <c r="K274" s="35" t="n"/>
      <c r="L274" s="26" t="n"/>
      <c r="M274" s="36">
        <f>IF($A279="","",IF(OR($H279="delivered",$H279="invoiced",$H279="paid"),1,0))</f>
        <v/>
      </c>
      <c r="N274" s="35">
        <f>IF($A279="","",IF(AND($M279=1,$J279&lt;&gt;""),$J279-IF($K279="",0,$K279),""))</f>
        <v/>
      </c>
    </row>
    <row r="275" ht="15" customHeight="1" s="27">
      <c r="A275" s="34" t="n"/>
      <c r="B275" s="26" t="n"/>
      <c r="C275" s="26" t="n"/>
      <c r="D275" s="26" t="n"/>
      <c r="E275" s="26" t="n"/>
      <c r="F275" s="26" t="n"/>
      <c r="G275" s="35" t="n"/>
      <c r="H275" s="26" t="n"/>
      <c r="I275" s="34" t="n"/>
      <c r="J275" s="35">
        <f>IF($G280="","",$G280*0.15)</f>
        <v/>
      </c>
      <c r="K275" s="35" t="n"/>
      <c r="L275" s="26" t="n"/>
      <c r="M275" s="36">
        <f>IF($A280="","",IF(OR($H280="delivered",$H280="invoiced",$H280="paid"),1,0))</f>
        <v/>
      </c>
      <c r="N275" s="35">
        <f>IF($A280="","",IF(AND($M280=1,$J280&lt;&gt;""),$J280-IF($K280="",0,$K280),""))</f>
        <v/>
      </c>
    </row>
    <row r="276" ht="15" customHeight="1" s="27">
      <c r="A276" s="34" t="n"/>
      <c r="B276" s="26" t="n"/>
      <c r="C276" s="26" t="n"/>
      <c r="D276" s="26" t="n"/>
      <c r="E276" s="26" t="n"/>
      <c r="F276" s="26" t="n"/>
      <c r="G276" s="35" t="n"/>
      <c r="H276" s="26" t="n"/>
      <c r="I276" s="34" t="n"/>
      <c r="J276" s="35">
        <f>IF($G281="","",$G281*0.15)</f>
        <v/>
      </c>
      <c r="K276" s="35" t="n"/>
      <c r="L276" s="26" t="n"/>
      <c r="M276" s="36">
        <f>IF($A281="","",IF(OR($H281="delivered",$H281="invoiced",$H281="paid"),1,0))</f>
        <v/>
      </c>
      <c r="N276" s="35">
        <f>IF($A281="","",IF(AND($M281=1,$J281&lt;&gt;""),$J281-IF($K281="",0,$K281),""))</f>
        <v/>
      </c>
    </row>
    <row r="277" ht="15" customHeight="1" s="27">
      <c r="A277" s="34" t="n"/>
      <c r="B277" s="26" t="n"/>
      <c r="C277" s="26" t="n"/>
      <c r="D277" s="26" t="n"/>
      <c r="E277" s="26" t="n"/>
      <c r="F277" s="26" t="n"/>
      <c r="G277" s="35" t="n"/>
      <c r="H277" s="26" t="n"/>
      <c r="I277" s="34" t="n"/>
      <c r="J277" s="35">
        <f>IF($G282="","",$G282*0.15)</f>
        <v/>
      </c>
      <c r="K277" s="35" t="n"/>
      <c r="L277" s="26" t="n"/>
      <c r="M277" s="36">
        <f>IF($A282="","",IF(OR($H282="delivered",$H282="invoiced",$H282="paid"),1,0))</f>
        <v/>
      </c>
      <c r="N277" s="35">
        <f>IF($A282="","",IF(AND($M282=1,$J282&lt;&gt;""),$J282-IF($K282="",0,$K282),""))</f>
        <v/>
      </c>
    </row>
    <row r="278" ht="15" customHeight="1" s="27">
      <c r="A278" s="34" t="n"/>
      <c r="B278" s="26" t="n"/>
      <c r="C278" s="26" t="n"/>
      <c r="D278" s="26" t="n"/>
      <c r="E278" s="26" t="n"/>
      <c r="F278" s="26" t="n"/>
      <c r="G278" s="35" t="n"/>
      <c r="H278" s="26" t="n"/>
      <c r="I278" s="34" t="n"/>
      <c r="J278" s="35">
        <f>IF($G283="","",$G283*0.15)</f>
        <v/>
      </c>
      <c r="K278" s="35" t="n"/>
      <c r="L278" s="26" t="n"/>
      <c r="M278" s="36">
        <f>IF($A283="","",IF(OR($H283="delivered",$H283="invoiced",$H283="paid"),1,0))</f>
        <v/>
      </c>
      <c r="N278" s="35">
        <f>IF($A283="","",IF(AND($M283=1,$J283&lt;&gt;""),$J283-IF($K283="",0,$K283),""))</f>
        <v/>
      </c>
    </row>
    <row r="279" ht="15" customHeight="1" s="27">
      <c r="A279" s="34" t="n"/>
      <c r="B279" s="26" t="n"/>
      <c r="C279" s="26" t="n"/>
      <c r="D279" s="26" t="n"/>
      <c r="E279" s="26" t="n"/>
      <c r="F279" s="26" t="n"/>
      <c r="G279" s="35" t="n"/>
      <c r="H279" s="26" t="n"/>
      <c r="I279" s="34" t="n"/>
      <c r="J279" s="35">
        <f>IF($G284="","",$G284*0.15)</f>
        <v/>
      </c>
      <c r="K279" s="35" t="n"/>
      <c r="L279" s="26" t="n"/>
      <c r="M279" s="36">
        <f>IF($A284="","",IF(OR($H284="delivered",$H284="invoiced",$H284="paid"),1,0))</f>
        <v/>
      </c>
      <c r="N279" s="35">
        <f>IF($A284="","",IF(AND($M284=1,$J284&lt;&gt;""),$J284-IF($K284="",0,$K284),""))</f>
        <v/>
      </c>
    </row>
    <row r="280" ht="15" customHeight="1" s="27">
      <c r="A280" s="34" t="n"/>
      <c r="B280" s="26" t="n"/>
      <c r="C280" s="26" t="n"/>
      <c r="D280" s="26" t="n"/>
      <c r="E280" s="26" t="n"/>
      <c r="F280" s="26" t="n"/>
      <c r="G280" s="35" t="n"/>
      <c r="H280" s="26" t="n"/>
      <c r="I280" s="34" t="n"/>
      <c r="J280" s="35">
        <f>IF($G285="","",$G285*0.15)</f>
        <v/>
      </c>
      <c r="K280" s="35" t="n"/>
      <c r="L280" s="26" t="n"/>
      <c r="M280" s="36">
        <f>IF($A285="","",IF(OR($H285="delivered",$H285="invoiced",$H285="paid"),1,0))</f>
        <v/>
      </c>
      <c r="N280" s="35">
        <f>IF($A285="","",IF(AND($M285=1,$J285&lt;&gt;""),$J285-IF($K285="",0,$K285),""))</f>
        <v/>
      </c>
    </row>
    <row r="281" ht="15" customHeight="1" s="27">
      <c r="A281" s="34" t="n"/>
      <c r="B281" s="26" t="n"/>
      <c r="C281" s="26" t="n"/>
      <c r="D281" s="26" t="n"/>
      <c r="E281" s="26" t="n"/>
      <c r="F281" s="26" t="n"/>
      <c r="G281" s="35" t="n"/>
      <c r="H281" s="26" t="n"/>
      <c r="I281" s="34" t="n"/>
      <c r="J281" s="35">
        <f>IF($G286="","",$G286*0.15)</f>
        <v/>
      </c>
      <c r="K281" s="35" t="n"/>
      <c r="L281" s="26" t="n"/>
      <c r="M281" s="36">
        <f>IF($A286="","",IF(OR($H286="delivered",$H286="invoiced",$H286="paid"),1,0))</f>
        <v/>
      </c>
      <c r="N281" s="35">
        <f>IF($A286="","",IF(AND($M286=1,$J286&lt;&gt;""),$J286-IF($K286="",0,$K286),""))</f>
        <v/>
      </c>
    </row>
    <row r="282" ht="15" customHeight="1" s="27">
      <c r="A282" s="34" t="n"/>
      <c r="B282" s="26" t="n"/>
      <c r="C282" s="26" t="n"/>
      <c r="D282" s="26" t="n"/>
      <c r="E282" s="26" t="n"/>
      <c r="F282" s="26" t="n"/>
      <c r="G282" s="35" t="n"/>
      <c r="H282" s="26" t="n"/>
      <c r="I282" s="34" t="n"/>
      <c r="J282" s="35">
        <f>IF($G287="","",$G287*0.15)</f>
        <v/>
      </c>
      <c r="K282" s="35" t="n"/>
      <c r="L282" s="26" t="n"/>
      <c r="M282" s="36">
        <f>IF($A287="","",IF(OR($H287="delivered",$H287="invoiced",$H287="paid"),1,0))</f>
        <v/>
      </c>
      <c r="N282" s="35">
        <f>IF($A287="","",IF(AND($M287=1,$J287&lt;&gt;""),$J287-IF($K287="",0,$K287),""))</f>
        <v/>
      </c>
    </row>
    <row r="283" ht="15" customHeight="1" s="27">
      <c r="A283" s="34" t="n"/>
      <c r="B283" s="26" t="n"/>
      <c r="C283" s="26" t="n"/>
      <c r="D283" s="26" t="n"/>
      <c r="E283" s="26" t="n"/>
      <c r="F283" s="26" t="n"/>
      <c r="G283" s="35" t="n"/>
      <c r="H283" s="26" t="n"/>
      <c r="I283" s="34" t="n"/>
      <c r="J283" s="35">
        <f>IF($G288="","",$G288*0.15)</f>
        <v/>
      </c>
      <c r="K283" s="35" t="n"/>
      <c r="L283" s="26" t="n"/>
      <c r="M283" s="36">
        <f>IF($A288="","",IF(OR($H288="delivered",$H288="invoiced",$H288="paid"),1,0))</f>
        <v/>
      </c>
      <c r="N283" s="35">
        <f>IF($A288="","",IF(AND($M288=1,$J288&lt;&gt;""),$J288-IF($K288="",0,$K288),""))</f>
        <v/>
      </c>
    </row>
    <row r="284" ht="15" customHeight="1" s="27">
      <c r="A284" s="34" t="n"/>
      <c r="B284" s="26" t="n"/>
      <c r="C284" s="26" t="n"/>
      <c r="D284" s="26" t="n"/>
      <c r="E284" s="26" t="n"/>
      <c r="F284" s="26" t="n"/>
      <c r="G284" s="35" t="n"/>
      <c r="H284" s="26" t="n"/>
      <c r="I284" s="34" t="n"/>
      <c r="J284" s="35">
        <f>IF($G289="","",$G289*0.15)</f>
        <v/>
      </c>
      <c r="K284" s="35" t="n"/>
      <c r="L284" s="26" t="n"/>
      <c r="M284" s="36">
        <f>IF($A289="","",IF(OR($H289="delivered",$H289="invoiced",$H289="paid"),1,0))</f>
        <v/>
      </c>
      <c r="N284" s="35">
        <f>IF($A289="","",IF(AND($M289=1,$J289&lt;&gt;""),$J289-IF($K289="",0,$K289),""))</f>
        <v/>
      </c>
    </row>
    <row r="285" ht="15" customHeight="1" s="27">
      <c r="A285" s="34" t="n"/>
      <c r="B285" s="26" t="n"/>
      <c r="C285" s="26" t="n"/>
      <c r="D285" s="26" t="n"/>
      <c r="E285" s="26" t="n"/>
      <c r="F285" s="26" t="n"/>
      <c r="G285" s="35" t="n"/>
      <c r="H285" s="26" t="n"/>
      <c r="I285" s="34" t="n"/>
      <c r="J285" s="35">
        <f>IF($G290="","",$G290*0.15)</f>
        <v/>
      </c>
      <c r="K285" s="35" t="n"/>
      <c r="L285" s="26" t="n"/>
      <c r="M285" s="36">
        <f>IF($A290="","",IF(OR($H290="delivered",$H290="invoiced",$H290="paid"),1,0))</f>
        <v/>
      </c>
      <c r="N285" s="35">
        <f>IF($A290="","",IF(AND($M290=1,$J290&lt;&gt;""),$J290-IF($K290="",0,$K290),""))</f>
        <v/>
      </c>
    </row>
    <row r="286" ht="15" customHeight="1" s="27">
      <c r="A286" s="34" t="n"/>
      <c r="B286" s="26" t="n"/>
      <c r="C286" s="26" t="n"/>
      <c r="D286" s="26" t="n"/>
      <c r="E286" s="26" t="n"/>
      <c r="F286" s="26" t="n"/>
      <c r="G286" s="35" t="n"/>
      <c r="H286" s="26" t="n"/>
      <c r="I286" s="34" t="n"/>
      <c r="J286" s="35">
        <f>IF($G291="","",$G291*0.15)</f>
        <v/>
      </c>
      <c r="K286" s="35" t="n"/>
      <c r="L286" s="26" t="n"/>
      <c r="M286" s="36">
        <f>IF($A291="","",IF(OR($H291="delivered",$H291="invoiced",$H291="paid"),1,0))</f>
        <v/>
      </c>
      <c r="N286" s="35">
        <f>IF($A291="","",IF(AND($M291=1,$J291&lt;&gt;""),$J291-IF($K291="",0,$K291),""))</f>
        <v/>
      </c>
    </row>
    <row r="287" ht="15" customHeight="1" s="27">
      <c r="A287" s="34" t="n"/>
      <c r="B287" s="26" t="n"/>
      <c r="C287" s="26" t="n"/>
      <c r="D287" s="26" t="n"/>
      <c r="E287" s="26" t="n"/>
      <c r="F287" s="26" t="n"/>
      <c r="G287" s="35" t="n"/>
      <c r="H287" s="26" t="n"/>
      <c r="I287" s="34" t="n"/>
      <c r="J287" s="35">
        <f>IF($G292="","",$G292*0.15)</f>
        <v/>
      </c>
      <c r="K287" s="35" t="n"/>
      <c r="L287" s="26" t="n"/>
      <c r="M287" s="36">
        <f>IF($A292="","",IF(OR($H292="delivered",$H292="invoiced",$H292="paid"),1,0))</f>
        <v/>
      </c>
      <c r="N287" s="35">
        <f>IF($A292="","",IF(AND($M292=1,$J292&lt;&gt;""),$J292-IF($K292="",0,$K292),""))</f>
        <v/>
      </c>
    </row>
    <row r="288" ht="15" customHeight="1" s="27">
      <c r="A288" s="34" t="n"/>
      <c r="B288" s="26" t="n"/>
      <c r="C288" s="26" t="n"/>
      <c r="D288" s="26" t="n"/>
      <c r="E288" s="26" t="n"/>
      <c r="F288" s="26" t="n"/>
      <c r="G288" s="35" t="n"/>
      <c r="H288" s="26" t="n"/>
      <c r="I288" s="34" t="n"/>
      <c r="J288" s="35">
        <f>IF($G293="","",$G293*0.15)</f>
        <v/>
      </c>
      <c r="K288" s="35" t="n"/>
      <c r="L288" s="26" t="n"/>
      <c r="M288" s="36">
        <f>IF($A293="","",IF(OR($H293="delivered",$H293="invoiced",$H293="paid"),1,0))</f>
        <v/>
      </c>
      <c r="N288" s="35">
        <f>IF($A293="","",IF(AND($M293=1,$J293&lt;&gt;""),$J293-IF($K293="",0,$K293),""))</f>
        <v/>
      </c>
    </row>
    <row r="289" ht="15" customHeight="1" s="27">
      <c r="A289" s="34" t="n"/>
      <c r="B289" s="26" t="n"/>
      <c r="C289" s="26" t="n"/>
      <c r="D289" s="26" t="n"/>
      <c r="E289" s="26" t="n"/>
      <c r="F289" s="26" t="n"/>
      <c r="G289" s="35" t="n"/>
      <c r="H289" s="26" t="n"/>
      <c r="I289" s="34" t="n"/>
      <c r="J289" s="35">
        <f>IF($G294="","",$G294*0.15)</f>
        <v/>
      </c>
      <c r="K289" s="35" t="n"/>
      <c r="L289" s="26" t="n"/>
      <c r="M289" s="36">
        <f>IF($A294="","",IF(OR($H294="delivered",$H294="invoiced",$H294="paid"),1,0))</f>
        <v/>
      </c>
      <c r="N289" s="35">
        <f>IF($A294="","",IF(AND($M294=1,$J294&lt;&gt;""),$J294-IF($K294="",0,$K294),""))</f>
        <v/>
      </c>
    </row>
    <row r="290" ht="15" customHeight="1" s="27">
      <c r="A290" s="34" t="n"/>
      <c r="B290" s="26" t="n"/>
      <c r="C290" s="26" t="n"/>
      <c r="D290" s="26" t="n"/>
      <c r="E290" s="26" t="n"/>
      <c r="F290" s="26" t="n"/>
      <c r="G290" s="35" t="n"/>
      <c r="H290" s="26" t="n"/>
      <c r="I290" s="34" t="n"/>
      <c r="J290" s="35">
        <f>IF($G295="","",$G295*0.15)</f>
        <v/>
      </c>
      <c r="K290" s="35" t="n"/>
      <c r="L290" s="26" t="n"/>
      <c r="M290" s="36">
        <f>IF($A295="","",IF(OR($H295="delivered",$H295="invoiced",$H295="paid"),1,0))</f>
        <v/>
      </c>
      <c r="N290" s="35">
        <f>IF($A295="","",IF(AND($M295=1,$J295&lt;&gt;""),$J295-IF($K295="",0,$K295),""))</f>
        <v/>
      </c>
    </row>
    <row r="291" ht="15" customHeight="1" s="27">
      <c r="A291" s="34" t="n"/>
      <c r="B291" s="26" t="n"/>
      <c r="C291" s="26" t="n"/>
      <c r="D291" s="26" t="n"/>
      <c r="E291" s="26" t="n"/>
      <c r="F291" s="26" t="n"/>
      <c r="G291" s="35" t="n"/>
      <c r="H291" s="26" t="n"/>
      <c r="I291" s="34" t="n"/>
      <c r="J291" s="35">
        <f>IF($G296="","",$G296*0.15)</f>
        <v/>
      </c>
      <c r="K291" s="35" t="n"/>
      <c r="L291" s="26" t="n"/>
      <c r="M291" s="36">
        <f>IF($A296="","",IF(OR($H296="delivered",$H296="invoiced",$H296="paid"),1,0))</f>
        <v/>
      </c>
      <c r="N291" s="35">
        <f>IF($A296="","",IF(AND($M296=1,$J296&lt;&gt;""),$J296-IF($K296="",0,$K296),""))</f>
        <v/>
      </c>
    </row>
    <row r="292" ht="15" customHeight="1" s="27">
      <c r="A292" s="34" t="n"/>
      <c r="B292" s="26" t="n"/>
      <c r="C292" s="26" t="n"/>
      <c r="D292" s="26" t="n"/>
      <c r="E292" s="26" t="n"/>
      <c r="F292" s="26" t="n"/>
      <c r="G292" s="35" t="n"/>
      <c r="H292" s="26" t="n"/>
      <c r="I292" s="34" t="n"/>
      <c r="J292" s="35">
        <f>IF($G297="","",$G297*0.15)</f>
        <v/>
      </c>
      <c r="K292" s="35" t="n"/>
      <c r="L292" s="26" t="n"/>
      <c r="M292" s="36">
        <f>IF($A297="","",IF(OR($H297="delivered",$H297="invoiced",$H297="paid"),1,0))</f>
        <v/>
      </c>
      <c r="N292" s="35">
        <f>IF($A297="","",IF(AND($M297=1,$J297&lt;&gt;""),$J297-IF($K297="",0,$K297),""))</f>
        <v/>
      </c>
    </row>
    <row r="293" ht="15" customHeight="1" s="27">
      <c r="A293" s="34" t="n"/>
      <c r="B293" s="26" t="n"/>
      <c r="C293" s="26" t="n"/>
      <c r="D293" s="26" t="n"/>
      <c r="E293" s="26" t="n"/>
      <c r="F293" s="26" t="n"/>
      <c r="G293" s="35" t="n"/>
      <c r="H293" s="26" t="n"/>
      <c r="I293" s="34" t="n"/>
      <c r="J293" s="35">
        <f>IF($G298="","",$G298*0.15)</f>
        <v/>
      </c>
      <c r="K293" s="35" t="n"/>
      <c r="L293" s="26" t="n"/>
      <c r="M293" s="36">
        <f>IF($A298="","",IF(OR($H298="delivered",$H298="invoiced",$H298="paid"),1,0))</f>
        <v/>
      </c>
      <c r="N293" s="35">
        <f>IF($A298="","",IF(AND($M298=1,$J298&lt;&gt;""),$J298-IF($K298="",0,$K298),""))</f>
        <v/>
      </c>
    </row>
    <row r="294" ht="15" customHeight="1" s="27">
      <c r="A294" s="34" t="n"/>
      <c r="B294" s="26" t="n"/>
      <c r="C294" s="26" t="n"/>
      <c r="D294" s="26" t="n"/>
      <c r="E294" s="26" t="n"/>
      <c r="F294" s="26" t="n"/>
      <c r="G294" s="35" t="n"/>
      <c r="H294" s="26" t="n"/>
      <c r="I294" s="34" t="n"/>
      <c r="J294" s="35">
        <f>IF($G299="","",$G299*0.15)</f>
        <v/>
      </c>
      <c r="K294" s="35" t="n"/>
      <c r="L294" s="26" t="n"/>
      <c r="M294" s="36">
        <f>IF($A299="","",IF(OR($H299="delivered",$H299="invoiced",$H299="paid"),1,0))</f>
        <v/>
      </c>
      <c r="N294" s="35">
        <f>IF($A299="","",IF(AND($M299=1,$J299&lt;&gt;""),$J299-IF($K299="",0,$K299),""))</f>
        <v/>
      </c>
    </row>
    <row r="295" ht="15" customHeight="1" s="27">
      <c r="A295" s="34" t="n"/>
      <c r="B295" s="26" t="n"/>
      <c r="C295" s="26" t="n"/>
      <c r="D295" s="26" t="n"/>
      <c r="E295" s="26" t="n"/>
      <c r="F295" s="26" t="n"/>
      <c r="G295" s="35" t="n"/>
      <c r="H295" s="26" t="n"/>
      <c r="I295" s="34" t="n"/>
      <c r="J295" s="35">
        <f>IF($G300="","",$G300*0.15)</f>
        <v/>
      </c>
      <c r="K295" s="35" t="n"/>
      <c r="L295" s="26" t="n"/>
      <c r="M295" s="36">
        <f>IF($A300="","",IF(OR($H300="delivered",$H300="invoiced",$H300="paid"),1,0))</f>
        <v/>
      </c>
      <c r="N295" s="35">
        <f>IF($A300="","",IF(AND($M300=1,$J300&lt;&gt;""),$J300-IF($K300="",0,$K300),""))</f>
        <v/>
      </c>
    </row>
    <row r="296" ht="15" customHeight="1" s="27">
      <c r="A296" s="34" t="n"/>
      <c r="B296" s="26" t="n"/>
      <c r="C296" s="26" t="n"/>
      <c r="D296" s="26" t="n"/>
      <c r="E296" s="26" t="n"/>
      <c r="F296" s="26" t="n"/>
      <c r="G296" s="35" t="n"/>
      <c r="H296" s="26" t="n"/>
      <c r="I296" s="34" t="n"/>
      <c r="J296" s="35">
        <f>IF($G301="","",$G301*0.15)</f>
        <v/>
      </c>
      <c r="K296" s="35" t="n"/>
      <c r="L296" s="26" t="n"/>
      <c r="M296" s="36">
        <f>IF($A301="","",IF(OR($H301="delivered",$H301="invoiced",$H301="paid"),1,0))</f>
        <v/>
      </c>
      <c r="N296" s="35">
        <f>IF($A301="","",IF(AND($M301=1,$J301&lt;&gt;""),$J301-IF($K301="",0,$K301),""))</f>
        <v/>
      </c>
    </row>
    <row r="297" ht="15" customHeight="1" s="27">
      <c r="A297" s="34" t="n"/>
      <c r="B297" s="26" t="n"/>
      <c r="C297" s="26" t="n"/>
      <c r="D297" s="26" t="n"/>
      <c r="E297" s="26" t="n"/>
      <c r="F297" s="26" t="n"/>
      <c r="G297" s="35" t="n"/>
      <c r="H297" s="26" t="n"/>
      <c r="I297" s="34" t="n"/>
      <c r="J297" s="35">
        <f>IF($G302="","",$G302*0.15)</f>
        <v/>
      </c>
      <c r="K297" s="35" t="n"/>
      <c r="L297" s="26" t="n"/>
      <c r="M297" s="36">
        <f>IF($A302="","",IF(OR($H302="delivered",$H302="invoiced",$H302="paid"),1,0))</f>
        <v/>
      </c>
      <c r="N297" s="35">
        <f>IF($A302="","",IF(AND($M302=1,$J302&lt;&gt;""),$J302-IF($K302="",0,$K302),""))</f>
        <v/>
      </c>
    </row>
    <row r="298" ht="15" customHeight="1" s="27">
      <c r="A298" s="34" t="n"/>
      <c r="B298" s="26" t="n"/>
      <c r="C298" s="26" t="n"/>
      <c r="D298" s="26" t="n"/>
      <c r="E298" s="26" t="n"/>
      <c r="F298" s="26" t="n"/>
      <c r="G298" s="35" t="n"/>
      <c r="H298" s="26" t="n"/>
      <c r="I298" s="34" t="n"/>
      <c r="J298" s="35">
        <f>IF($G303="","",$G303*0.15)</f>
        <v/>
      </c>
      <c r="K298" s="35" t="n"/>
      <c r="L298" s="26" t="n"/>
      <c r="M298" s="36">
        <f>IF($A303="","",IF(OR($H303="delivered",$H303="invoiced",$H303="paid"),1,0))</f>
        <v/>
      </c>
      <c r="N298" s="35">
        <f>IF($A303="","",IF(AND($M303=1,$J303&lt;&gt;""),$J303-IF($K303="",0,$K303),""))</f>
        <v/>
      </c>
    </row>
    <row r="299" ht="15" customHeight="1" s="27">
      <c r="A299" s="34" t="n"/>
      <c r="B299" s="26" t="n"/>
      <c r="C299" s="26" t="n"/>
      <c r="D299" s="26" t="n"/>
      <c r="E299" s="26" t="n"/>
      <c r="F299" s="26" t="n"/>
      <c r="G299" s="35" t="n"/>
      <c r="H299" s="26" t="n"/>
      <c r="I299" s="34" t="n"/>
      <c r="J299" s="35">
        <f>IF($G304="","",$G304*0.15)</f>
        <v/>
      </c>
      <c r="K299" s="35" t="n"/>
      <c r="L299" s="26" t="n"/>
      <c r="M299" s="36">
        <f>IF($A304="","",IF(OR($H304="delivered",$H304="invoiced",$H304="paid"),1,0))</f>
        <v/>
      </c>
      <c r="N299" s="35">
        <f>IF($A304="","",IF(AND($M304=1,$J304&lt;&gt;""),$J304-IF($K304="",0,$K304),""))</f>
        <v/>
      </c>
    </row>
    <row r="300" ht="15" customHeight="1" s="27">
      <c r="A300" s="34" t="n"/>
      <c r="B300" s="26" t="n"/>
      <c r="C300" s="26" t="n"/>
      <c r="D300" s="26" t="n"/>
      <c r="E300" s="26" t="n"/>
      <c r="F300" s="26" t="n"/>
      <c r="G300" s="35" t="n"/>
      <c r="H300" s="26" t="n"/>
      <c r="I300" s="34" t="n"/>
      <c r="J300" s="35">
        <f>IF($G305="","",$G305*0.15)</f>
        <v/>
      </c>
      <c r="K300" s="35" t="n"/>
      <c r="L300" s="26" t="n"/>
      <c r="M300" s="36">
        <f>IF($A305="","",IF(OR($H305="delivered",$H305="invoiced",$H305="paid"),1,0))</f>
        <v/>
      </c>
      <c r="N300" s="35">
        <f>IF($A305="","",IF(AND($M305=1,$J305&lt;&gt;""),$J305-IF($K305="",0,$K305),""))</f>
        <v/>
      </c>
    </row>
    <row r="301" ht="15" customHeight="1" s="27">
      <c r="A301" s="34" t="n"/>
      <c r="B301" s="26" t="n"/>
      <c r="C301" s="26" t="n"/>
      <c r="D301" s="26" t="n"/>
      <c r="E301" s="26" t="n"/>
      <c r="F301" s="26" t="n"/>
      <c r="G301" s="35" t="n"/>
      <c r="H301" s="26" t="n"/>
      <c r="I301" s="34" t="n"/>
      <c r="J301" s="35">
        <f>IF($G306="","",$G306*0.15)</f>
        <v/>
      </c>
      <c r="K301" s="35" t="n"/>
      <c r="L301" s="26" t="n"/>
      <c r="M301" s="36">
        <f>IF($A306="","",IF(OR($H306="delivered",$H306="invoiced",$H306="paid"),1,0))</f>
        <v/>
      </c>
      <c r="N301" s="35">
        <f>IF($A306="","",IF(AND($M306=1,$J306&lt;&gt;""),$J306-IF($K306="",0,$K306),""))</f>
        <v/>
      </c>
    </row>
    <row r="302" ht="15" customHeight="1" s="27">
      <c r="A302" s="34" t="n"/>
      <c r="B302" s="26" t="n"/>
      <c r="C302" s="26" t="n"/>
      <c r="D302" s="26" t="n"/>
      <c r="E302" s="26" t="n"/>
      <c r="F302" s="26" t="n"/>
      <c r="G302" s="35" t="n"/>
      <c r="H302" s="26" t="n"/>
      <c r="I302" s="34" t="n"/>
      <c r="J302" s="35">
        <f>IF($G307="","",$G307*0.15)</f>
        <v/>
      </c>
      <c r="K302" s="35" t="n"/>
      <c r="L302" s="26" t="n"/>
      <c r="M302" s="36">
        <f>IF($A307="","",IF(OR($H307="delivered",$H307="invoiced",$H307="paid"),1,0))</f>
        <v/>
      </c>
      <c r="N302" s="35">
        <f>IF($A307="","",IF(AND($M307=1,$J307&lt;&gt;""),$J307-IF($K307="",0,$K307),""))</f>
        <v/>
      </c>
    </row>
    <row r="303" ht="15" customHeight="1" s="27">
      <c r="A303" s="34" t="n"/>
      <c r="B303" s="26" t="n"/>
      <c r="C303" s="26" t="n"/>
      <c r="D303" s="26" t="n"/>
      <c r="E303" s="26" t="n"/>
      <c r="F303" s="26" t="n"/>
      <c r="G303" s="35" t="n"/>
      <c r="H303" s="26" t="n"/>
      <c r="I303" s="34" t="n"/>
      <c r="J303" s="35">
        <f>IF($G308="","",$G308*0.15)</f>
        <v/>
      </c>
      <c r="K303" s="35" t="n"/>
      <c r="L303" s="26" t="n"/>
      <c r="M303" s="36">
        <f>IF($A308="","",IF(OR($H308="delivered",$H308="invoiced",$H308="paid"),1,0))</f>
        <v/>
      </c>
      <c r="N303" s="35">
        <f>IF($A308="","",IF(AND($M308=1,$J308&lt;&gt;""),$J308-IF($K308="",0,$K308),""))</f>
        <v/>
      </c>
    </row>
    <row r="304" ht="15" customHeight="1" s="27">
      <c r="A304" s="34" t="n"/>
      <c r="B304" s="26" t="n"/>
      <c r="C304" s="26" t="n"/>
      <c r="D304" s="26" t="n"/>
      <c r="E304" s="26" t="n"/>
      <c r="F304" s="26" t="n"/>
      <c r="G304" s="35" t="n"/>
      <c r="H304" s="26" t="n"/>
      <c r="I304" s="34" t="n"/>
      <c r="J304" s="35">
        <f>IF($G309="","",$G309*0.15)</f>
        <v/>
      </c>
      <c r="K304" s="35" t="n"/>
      <c r="L304" s="26" t="n"/>
      <c r="M304" s="36">
        <f>IF($A309="","",IF(OR($H309="delivered",$H309="invoiced",$H309="paid"),1,0))</f>
        <v/>
      </c>
      <c r="N304" s="35">
        <f>IF($A309="","",IF(AND($M309=1,$J309&lt;&gt;""),$J309-IF($K309="",0,$K309),""))</f>
        <v/>
      </c>
    </row>
    <row r="305" ht="15" customHeight="1" s="27">
      <c r="A305" s="34" t="n"/>
      <c r="B305" s="26" t="n"/>
      <c r="C305" s="26" t="n"/>
      <c r="D305" s="26" t="n"/>
      <c r="E305" s="26" t="n"/>
      <c r="F305" s="26" t="n"/>
      <c r="G305" s="35" t="n"/>
      <c r="H305" s="26" t="n"/>
      <c r="I305" s="34" t="n"/>
      <c r="J305" s="35">
        <f>IF($G310="","",$G310*0.15)</f>
        <v/>
      </c>
      <c r="K305" s="35" t="n"/>
      <c r="L305" s="26" t="n"/>
      <c r="M305" s="36">
        <f>IF($A310="","",IF(OR($H310="delivered",$H310="invoiced",$H310="paid"),1,0))</f>
        <v/>
      </c>
      <c r="N305" s="35">
        <f>IF($A310="","",IF(AND($M310=1,$J310&lt;&gt;""),$J310-IF($K310="",0,$K310),""))</f>
        <v/>
      </c>
    </row>
    <row r="306" ht="15" customHeight="1" s="27">
      <c r="A306" s="34" t="n"/>
      <c r="B306" s="26" t="n"/>
      <c r="C306" s="26" t="n"/>
      <c r="D306" s="26" t="n"/>
      <c r="E306" s="26" t="n"/>
      <c r="F306" s="26" t="n"/>
      <c r="G306" s="35" t="n"/>
      <c r="H306" s="26" t="n"/>
      <c r="I306" s="34" t="n"/>
      <c r="J306" s="35">
        <f>IF($G311="","",$G311*0.15)</f>
        <v/>
      </c>
      <c r="K306" s="35" t="n"/>
      <c r="L306" s="26" t="n"/>
      <c r="M306" s="36">
        <f>IF($A311="","",IF(OR($H311="delivered",$H311="invoiced",$H311="paid"),1,0))</f>
        <v/>
      </c>
      <c r="N306" s="35">
        <f>IF($A311="","",IF(AND($M311=1,$J311&lt;&gt;""),$J311-IF($K311="",0,$K311),""))</f>
        <v/>
      </c>
    </row>
    <row r="307" ht="15" customHeight="1" s="27">
      <c r="A307" s="34" t="n"/>
      <c r="B307" s="26" t="n"/>
      <c r="C307" s="26" t="n"/>
      <c r="D307" s="26" t="n"/>
      <c r="E307" s="26" t="n"/>
      <c r="F307" s="26" t="n"/>
      <c r="G307" s="35" t="n"/>
      <c r="H307" s="26" t="n"/>
      <c r="I307" s="34" t="n"/>
      <c r="J307" s="35">
        <f>IF($G312="","",$G312*0.15)</f>
        <v/>
      </c>
      <c r="K307" s="35" t="n"/>
      <c r="L307" s="26" t="n"/>
      <c r="M307" s="36">
        <f>IF($A312="","",IF(OR($H312="delivered",$H312="invoiced",$H312="paid"),1,0))</f>
        <v/>
      </c>
      <c r="N307" s="35">
        <f>IF($A312="","",IF(AND($M312=1,$J312&lt;&gt;""),$J312-IF($K312="",0,$K312),""))</f>
        <v/>
      </c>
    </row>
    <row r="308" ht="15" customHeight="1" s="27">
      <c r="A308" s="34" t="n"/>
      <c r="B308" s="26" t="n"/>
      <c r="C308" s="26" t="n"/>
      <c r="D308" s="26" t="n"/>
      <c r="E308" s="26" t="n"/>
      <c r="F308" s="26" t="n"/>
      <c r="G308" s="35" t="n"/>
      <c r="H308" s="26" t="n"/>
      <c r="I308" s="34" t="n"/>
      <c r="J308" s="35">
        <f>IF($G313="","",$G313*0.15)</f>
        <v/>
      </c>
      <c r="K308" s="35" t="n"/>
      <c r="L308" s="26" t="n"/>
      <c r="M308" s="36">
        <f>IF($A313="","",IF(OR($H313="delivered",$H313="invoiced",$H313="paid"),1,0))</f>
        <v/>
      </c>
      <c r="N308" s="35">
        <f>IF($A313="","",IF(AND($M313=1,$J313&lt;&gt;""),$J313-IF($K313="",0,$K313),""))</f>
        <v/>
      </c>
    </row>
    <row r="309" ht="15" customHeight="1" s="27">
      <c r="A309" s="34" t="n"/>
      <c r="B309" s="26" t="n"/>
      <c r="C309" s="26" t="n"/>
      <c r="D309" s="26" t="n"/>
      <c r="E309" s="26" t="n"/>
      <c r="F309" s="26" t="n"/>
      <c r="G309" s="35" t="n"/>
      <c r="H309" s="26" t="n"/>
      <c r="I309" s="34" t="n"/>
      <c r="J309" s="35">
        <f>IF($G314="","",$G314*0.15)</f>
        <v/>
      </c>
      <c r="K309" s="35" t="n"/>
      <c r="L309" s="26" t="n"/>
      <c r="M309" s="36">
        <f>IF($A314="","",IF(OR($H314="delivered",$H314="invoiced",$H314="paid"),1,0))</f>
        <v/>
      </c>
      <c r="N309" s="35">
        <f>IF($A314="","",IF(AND($M314=1,$J314&lt;&gt;""),$J314-IF($K314="",0,$K314),""))</f>
        <v/>
      </c>
    </row>
    <row r="310" ht="15" customHeight="1" s="27">
      <c r="A310" s="34" t="n"/>
      <c r="B310" s="26" t="n"/>
      <c r="C310" s="26" t="n"/>
      <c r="D310" s="26" t="n"/>
      <c r="E310" s="26" t="n"/>
      <c r="F310" s="26" t="n"/>
      <c r="G310" s="35" t="n"/>
      <c r="H310" s="26" t="n"/>
      <c r="I310" s="34" t="n"/>
      <c r="J310" s="35">
        <f>IF($G315="","",$G315*0.15)</f>
        <v/>
      </c>
      <c r="K310" s="35" t="n"/>
      <c r="L310" s="26" t="n"/>
      <c r="M310" s="36">
        <f>IF($A315="","",IF(OR($H315="delivered",$H315="invoiced",$H315="paid"),1,0))</f>
        <v/>
      </c>
      <c r="N310" s="35">
        <f>IF($A315="","",IF(AND($M315=1,$J315&lt;&gt;""),$J315-IF($K315="",0,$K315),""))</f>
        <v/>
      </c>
    </row>
    <row r="311" ht="15" customHeight="1" s="27">
      <c r="A311" s="34" t="n"/>
      <c r="B311" s="26" t="n"/>
      <c r="C311" s="26" t="n"/>
      <c r="D311" s="26" t="n"/>
      <c r="E311" s="26" t="n"/>
      <c r="F311" s="26" t="n"/>
      <c r="G311" s="35" t="n"/>
      <c r="H311" s="26" t="n"/>
      <c r="I311" s="34" t="n"/>
      <c r="J311" s="35">
        <f>IF($G316="","",$G316*0.15)</f>
        <v/>
      </c>
      <c r="K311" s="35" t="n"/>
      <c r="L311" s="26" t="n"/>
      <c r="M311" s="36">
        <f>IF($A316="","",IF(OR($H316="delivered",$H316="invoiced",$H316="paid"),1,0))</f>
        <v/>
      </c>
      <c r="N311" s="35">
        <f>IF($A316="","",IF(AND($M316=1,$J316&lt;&gt;""),$J316-IF($K316="",0,$K316),""))</f>
        <v/>
      </c>
    </row>
    <row r="312" ht="15" customHeight="1" s="27">
      <c r="A312" s="34" t="n"/>
      <c r="B312" s="26" t="n"/>
      <c r="C312" s="26" t="n"/>
      <c r="D312" s="26" t="n"/>
      <c r="E312" s="26" t="n"/>
      <c r="F312" s="26" t="n"/>
      <c r="G312" s="35" t="n"/>
      <c r="H312" s="26" t="n"/>
      <c r="I312" s="34" t="n"/>
      <c r="J312" s="35">
        <f>IF($G317="","",$G317*0.15)</f>
        <v/>
      </c>
      <c r="K312" s="35" t="n"/>
      <c r="L312" s="26" t="n"/>
      <c r="M312" s="36">
        <f>IF($A317="","",IF(OR($H317="delivered",$H317="invoiced",$H317="paid"),1,0))</f>
        <v/>
      </c>
      <c r="N312" s="35">
        <f>IF($A317="","",IF(AND($M317=1,$J317&lt;&gt;""),$J317-IF($K317="",0,$K317),""))</f>
        <v/>
      </c>
    </row>
    <row r="313" ht="15" customHeight="1" s="27">
      <c r="A313" s="34" t="n"/>
      <c r="B313" s="26" t="n"/>
      <c r="C313" s="26" t="n"/>
      <c r="D313" s="26" t="n"/>
      <c r="E313" s="26" t="n"/>
      <c r="F313" s="26" t="n"/>
      <c r="G313" s="35" t="n"/>
      <c r="H313" s="26" t="n"/>
      <c r="I313" s="34" t="n"/>
      <c r="J313" s="35">
        <f>IF($G318="","",$G318*0.15)</f>
        <v/>
      </c>
      <c r="K313" s="35" t="n"/>
      <c r="L313" s="26" t="n"/>
      <c r="M313" s="36">
        <f>IF($A318="","",IF(OR($H318="delivered",$H318="invoiced",$H318="paid"),1,0))</f>
        <v/>
      </c>
      <c r="N313" s="35">
        <f>IF($A318="","",IF(AND($M318=1,$J318&lt;&gt;""),$J318-IF($K318="",0,$K318),""))</f>
        <v/>
      </c>
    </row>
    <row r="314" ht="15" customHeight="1" s="27">
      <c r="A314" s="34" t="n"/>
      <c r="B314" s="26" t="n"/>
      <c r="C314" s="26" t="n"/>
      <c r="D314" s="26" t="n"/>
      <c r="E314" s="26" t="n"/>
      <c r="F314" s="26" t="n"/>
      <c r="G314" s="35" t="n"/>
      <c r="H314" s="26" t="n"/>
      <c r="I314" s="34" t="n"/>
      <c r="J314" s="35">
        <f>IF($G319="","",$G319*0.15)</f>
        <v/>
      </c>
      <c r="K314" s="35" t="n"/>
      <c r="L314" s="26" t="n"/>
      <c r="M314" s="36">
        <f>IF($A319="","",IF(OR($H319="delivered",$H319="invoiced",$H319="paid"),1,0))</f>
        <v/>
      </c>
      <c r="N314" s="35">
        <f>IF($A319="","",IF(AND($M319=1,$J319&lt;&gt;""),$J319-IF($K319="",0,$K319),""))</f>
        <v/>
      </c>
    </row>
    <row r="315" ht="15" customHeight="1" s="27">
      <c r="A315" s="34" t="n"/>
      <c r="B315" s="26" t="n"/>
      <c r="C315" s="26" t="n"/>
      <c r="D315" s="26" t="n"/>
      <c r="E315" s="26" t="n"/>
      <c r="F315" s="26" t="n"/>
      <c r="G315" s="35" t="n"/>
      <c r="H315" s="26" t="n"/>
      <c r="I315" s="34" t="n"/>
      <c r="J315" s="35">
        <f>IF($G320="","",$G320*0.15)</f>
        <v/>
      </c>
      <c r="K315" s="35" t="n"/>
      <c r="L315" s="26" t="n"/>
      <c r="M315" s="36">
        <f>IF($A320="","",IF(OR($H320="delivered",$H320="invoiced",$H320="paid"),1,0))</f>
        <v/>
      </c>
      <c r="N315" s="35">
        <f>IF($A320="","",IF(AND($M320=1,$J320&lt;&gt;""),$J320-IF($K320="",0,$K320),""))</f>
        <v/>
      </c>
    </row>
    <row r="316" ht="15" customHeight="1" s="27">
      <c r="A316" s="34" t="n"/>
      <c r="B316" s="26" t="n"/>
      <c r="C316" s="26" t="n"/>
      <c r="D316" s="26" t="n"/>
      <c r="E316" s="26" t="n"/>
      <c r="F316" s="26" t="n"/>
      <c r="G316" s="35" t="n"/>
      <c r="H316" s="26" t="n"/>
      <c r="I316" s="34" t="n"/>
      <c r="J316" s="35">
        <f>IF($G321="","",$G321*0.15)</f>
        <v/>
      </c>
      <c r="K316" s="35" t="n"/>
      <c r="L316" s="26" t="n"/>
      <c r="M316" s="36">
        <f>IF($A321="","",IF(OR($H321="delivered",$H321="invoiced",$H321="paid"),1,0))</f>
        <v/>
      </c>
      <c r="N316" s="35">
        <f>IF($A321="","",IF(AND($M321=1,$J321&lt;&gt;""),$J321-IF($K321="",0,$K321),""))</f>
        <v/>
      </c>
    </row>
    <row r="317" ht="15" customHeight="1" s="27">
      <c r="A317" s="34" t="n"/>
      <c r="B317" s="26" t="n"/>
      <c r="C317" s="26" t="n"/>
      <c r="D317" s="26" t="n"/>
      <c r="E317" s="26" t="n"/>
      <c r="F317" s="26" t="n"/>
      <c r="G317" s="35" t="n"/>
      <c r="H317" s="26" t="n"/>
      <c r="I317" s="34" t="n"/>
      <c r="J317" s="35">
        <f>IF($G322="","",$G322*0.15)</f>
        <v/>
      </c>
      <c r="K317" s="35" t="n"/>
      <c r="L317" s="26" t="n"/>
      <c r="M317" s="36">
        <f>IF($A322="","",IF(OR($H322="delivered",$H322="invoiced",$H322="paid"),1,0))</f>
        <v/>
      </c>
      <c r="N317" s="35">
        <f>IF($A322="","",IF(AND($M322=1,$J322&lt;&gt;""),$J322-IF($K322="",0,$K322),""))</f>
        <v/>
      </c>
    </row>
    <row r="318" ht="15" customHeight="1" s="27">
      <c r="A318" s="34" t="n"/>
      <c r="B318" s="26" t="n"/>
      <c r="C318" s="26" t="n"/>
      <c r="D318" s="26" t="n"/>
      <c r="E318" s="26" t="n"/>
      <c r="F318" s="26" t="n"/>
      <c r="G318" s="35" t="n"/>
      <c r="H318" s="26" t="n"/>
      <c r="I318" s="34" t="n"/>
      <c r="J318" s="35">
        <f>IF($G323="","",$G323*0.15)</f>
        <v/>
      </c>
      <c r="K318" s="35" t="n"/>
      <c r="L318" s="26" t="n"/>
      <c r="M318" s="36">
        <f>IF($A323="","",IF(OR($H323="delivered",$H323="invoiced",$H323="paid"),1,0))</f>
        <v/>
      </c>
      <c r="N318" s="35">
        <f>IF($A323="","",IF(AND($M323=1,$J323&lt;&gt;""),$J323-IF($K323="",0,$K323),""))</f>
        <v/>
      </c>
    </row>
    <row r="319" ht="15" customHeight="1" s="27">
      <c r="A319" s="34" t="n"/>
      <c r="B319" s="26" t="n"/>
      <c r="C319" s="26" t="n"/>
      <c r="D319" s="26" t="n"/>
      <c r="E319" s="26" t="n"/>
      <c r="F319" s="26" t="n"/>
      <c r="G319" s="35" t="n"/>
      <c r="H319" s="26" t="n"/>
      <c r="I319" s="34" t="n"/>
      <c r="J319" s="35">
        <f>IF($G324="","",$G324*0.15)</f>
        <v/>
      </c>
      <c r="K319" s="35" t="n"/>
      <c r="L319" s="26" t="n"/>
      <c r="M319" s="36">
        <f>IF($A324="","",IF(OR($H324="delivered",$H324="invoiced",$H324="paid"),1,0))</f>
        <v/>
      </c>
      <c r="N319" s="35">
        <f>IF($A324="","",IF(AND($M324=1,$J324&lt;&gt;""),$J324-IF($K324="",0,$K324),""))</f>
        <v/>
      </c>
    </row>
    <row r="320" ht="15" customHeight="1" s="27">
      <c r="A320" s="34" t="n"/>
      <c r="B320" s="26" t="n"/>
      <c r="C320" s="26" t="n"/>
      <c r="D320" s="26" t="n"/>
      <c r="E320" s="26" t="n"/>
      <c r="F320" s="26" t="n"/>
      <c r="G320" s="35" t="n"/>
      <c r="H320" s="26" t="n"/>
      <c r="I320" s="34" t="n"/>
      <c r="J320" s="35">
        <f>IF($G325="","",$G325*0.15)</f>
        <v/>
      </c>
      <c r="K320" s="35" t="n"/>
      <c r="L320" s="26" t="n"/>
      <c r="M320" s="36">
        <f>IF($A325="","",IF(OR($H325="delivered",$H325="invoiced",$H325="paid"),1,0))</f>
        <v/>
      </c>
      <c r="N320" s="35">
        <f>IF($A325="","",IF(AND($M325=1,$J325&lt;&gt;""),$J325-IF($K325="",0,$K325),""))</f>
        <v/>
      </c>
    </row>
    <row r="321" ht="15" customHeight="1" s="27">
      <c r="A321" s="34" t="n"/>
      <c r="B321" s="26" t="n"/>
      <c r="C321" s="26" t="n"/>
      <c r="D321" s="26" t="n"/>
      <c r="E321" s="26" t="n"/>
      <c r="F321" s="26" t="n"/>
      <c r="G321" s="35" t="n"/>
      <c r="H321" s="26" t="n"/>
      <c r="I321" s="34" t="n"/>
      <c r="J321" s="35">
        <f>IF($G326="","",$G326*0.15)</f>
        <v/>
      </c>
      <c r="K321" s="35" t="n"/>
      <c r="L321" s="26" t="n"/>
      <c r="M321" s="36">
        <f>IF($A326="","",IF(OR($H326="delivered",$H326="invoiced",$H326="paid"),1,0))</f>
        <v/>
      </c>
      <c r="N321" s="35">
        <f>IF($A326="","",IF(AND($M326=1,$J326&lt;&gt;""),$J326-IF($K326="",0,$K326),""))</f>
        <v/>
      </c>
    </row>
    <row r="322" ht="15" customHeight="1" s="27">
      <c r="A322" s="34" t="n"/>
      <c r="B322" s="26" t="n"/>
      <c r="C322" s="26" t="n"/>
      <c r="D322" s="26" t="n"/>
      <c r="E322" s="26" t="n"/>
      <c r="F322" s="26" t="n"/>
      <c r="G322" s="35" t="n"/>
      <c r="H322" s="26" t="n"/>
      <c r="I322" s="34" t="n"/>
      <c r="J322" s="35">
        <f>IF($G327="","",$G327*0.15)</f>
        <v/>
      </c>
      <c r="K322" s="35" t="n"/>
      <c r="L322" s="26" t="n"/>
      <c r="M322" s="36">
        <f>IF($A327="","",IF(OR($H327="delivered",$H327="invoiced",$H327="paid"),1,0))</f>
        <v/>
      </c>
      <c r="N322" s="35">
        <f>IF($A327="","",IF(AND($M327=1,$J327&lt;&gt;""),$J327-IF($K327="",0,$K327),""))</f>
        <v/>
      </c>
    </row>
    <row r="323" ht="15" customHeight="1" s="27">
      <c r="A323" s="34" t="n"/>
      <c r="B323" s="26" t="n"/>
      <c r="C323" s="26" t="n"/>
      <c r="D323" s="26" t="n"/>
      <c r="E323" s="26" t="n"/>
      <c r="F323" s="26" t="n"/>
      <c r="G323" s="35" t="n"/>
      <c r="H323" s="26" t="n"/>
      <c r="I323" s="34" t="n"/>
      <c r="J323" s="35">
        <f>IF($G328="","",$G328*0.15)</f>
        <v/>
      </c>
      <c r="K323" s="35" t="n"/>
      <c r="L323" s="26" t="n"/>
      <c r="M323" s="36">
        <f>IF($A328="","",IF(OR($H328="delivered",$H328="invoiced",$H328="paid"),1,0))</f>
        <v/>
      </c>
      <c r="N323" s="35">
        <f>IF($A328="","",IF(AND($M328=1,$J328&lt;&gt;""),$J328-IF($K328="",0,$K328),""))</f>
        <v/>
      </c>
    </row>
    <row r="324" ht="15" customHeight="1" s="27">
      <c r="A324" s="34" t="n"/>
      <c r="B324" s="26" t="n"/>
      <c r="C324" s="26" t="n"/>
      <c r="D324" s="26" t="n"/>
      <c r="E324" s="26" t="n"/>
      <c r="F324" s="26" t="n"/>
      <c r="G324" s="35" t="n"/>
      <c r="H324" s="26" t="n"/>
      <c r="I324" s="34" t="n"/>
      <c r="J324" s="35">
        <f>IF($G329="","",$G329*0.15)</f>
        <v/>
      </c>
      <c r="K324" s="35" t="n"/>
      <c r="L324" s="26" t="n"/>
      <c r="M324" s="36">
        <f>IF($A329="","",IF(OR($H329="delivered",$H329="invoiced",$H329="paid"),1,0))</f>
        <v/>
      </c>
      <c r="N324" s="35">
        <f>IF($A329="","",IF(AND($M329=1,$J329&lt;&gt;""),$J329-IF($K329="",0,$K329),""))</f>
        <v/>
      </c>
    </row>
    <row r="325" ht="15" customHeight="1" s="27">
      <c r="A325" s="34" t="n"/>
      <c r="B325" s="26" t="n"/>
      <c r="C325" s="26" t="n"/>
      <c r="D325" s="26" t="n"/>
      <c r="E325" s="26" t="n"/>
      <c r="F325" s="26" t="n"/>
      <c r="G325" s="35" t="n"/>
      <c r="H325" s="26" t="n"/>
      <c r="I325" s="34" t="n"/>
      <c r="J325" s="35">
        <f>IF($G330="","",$G330*0.15)</f>
        <v/>
      </c>
      <c r="K325" s="35" t="n"/>
      <c r="L325" s="26" t="n"/>
      <c r="M325" s="36">
        <f>IF($A330="","",IF(OR($H330="delivered",$H330="invoiced",$H330="paid"),1,0))</f>
        <v/>
      </c>
      <c r="N325" s="35">
        <f>IF($A330="","",IF(AND($M330=1,$J330&lt;&gt;""),$J330-IF($K330="",0,$K330),""))</f>
        <v/>
      </c>
    </row>
    <row r="326" ht="15" customHeight="1" s="27">
      <c r="A326" s="34" t="n"/>
      <c r="B326" s="26" t="n"/>
      <c r="C326" s="26" t="n"/>
      <c r="D326" s="26" t="n"/>
      <c r="E326" s="26" t="n"/>
      <c r="F326" s="26" t="n"/>
      <c r="G326" s="35" t="n"/>
      <c r="H326" s="26" t="n"/>
      <c r="I326" s="34" t="n"/>
      <c r="J326" s="35">
        <f>IF($G331="","",$G331*0.15)</f>
        <v/>
      </c>
      <c r="K326" s="35" t="n"/>
      <c r="L326" s="26" t="n"/>
      <c r="M326" s="36">
        <f>IF($A331="","",IF(OR($H331="delivered",$H331="invoiced",$H331="paid"),1,0))</f>
        <v/>
      </c>
      <c r="N326" s="35">
        <f>IF($A331="","",IF(AND($M331=1,$J331&lt;&gt;""),$J331-IF($K331="",0,$K331),""))</f>
        <v/>
      </c>
    </row>
    <row r="327" ht="15" customHeight="1" s="27">
      <c r="A327" s="34" t="n"/>
      <c r="B327" s="26" t="n"/>
      <c r="C327" s="26" t="n"/>
      <c r="D327" s="26" t="n"/>
      <c r="E327" s="26" t="n"/>
      <c r="F327" s="26" t="n"/>
      <c r="G327" s="35" t="n"/>
      <c r="H327" s="26" t="n"/>
      <c r="I327" s="34" t="n"/>
      <c r="J327" s="35">
        <f>IF($G332="","",$G332*0.15)</f>
        <v/>
      </c>
      <c r="K327" s="35" t="n"/>
      <c r="L327" s="26" t="n"/>
      <c r="M327" s="36">
        <f>IF($A332="","",IF(OR($H332="delivered",$H332="invoiced",$H332="paid"),1,0))</f>
        <v/>
      </c>
      <c r="N327" s="35">
        <f>IF($A332="","",IF(AND($M332=1,$J332&lt;&gt;""),$J332-IF($K332="",0,$K332),""))</f>
        <v/>
      </c>
    </row>
    <row r="328" ht="15" customHeight="1" s="27">
      <c r="A328" s="34" t="n"/>
      <c r="B328" s="26" t="n"/>
      <c r="C328" s="26" t="n"/>
      <c r="D328" s="26" t="n"/>
      <c r="E328" s="26" t="n"/>
      <c r="F328" s="26" t="n"/>
      <c r="G328" s="35" t="n"/>
      <c r="H328" s="26" t="n"/>
      <c r="I328" s="34" t="n"/>
      <c r="J328" s="35">
        <f>IF($G333="","",$G333*0.15)</f>
        <v/>
      </c>
      <c r="K328" s="35" t="n"/>
      <c r="L328" s="26" t="n"/>
      <c r="M328" s="36">
        <f>IF($A333="","",IF(OR($H333="delivered",$H333="invoiced",$H333="paid"),1,0))</f>
        <v/>
      </c>
      <c r="N328" s="35">
        <f>IF($A333="","",IF(AND($M333=1,$J333&lt;&gt;""),$J333-IF($K333="",0,$K333),""))</f>
        <v/>
      </c>
    </row>
    <row r="329" ht="15" customHeight="1" s="27">
      <c r="A329" s="34" t="n"/>
      <c r="B329" s="26" t="n"/>
      <c r="C329" s="26" t="n"/>
      <c r="D329" s="26" t="n"/>
      <c r="E329" s="26" t="n"/>
      <c r="F329" s="26" t="n"/>
      <c r="G329" s="35" t="n"/>
      <c r="H329" s="26" t="n"/>
      <c r="I329" s="34" t="n"/>
      <c r="J329" s="35">
        <f>IF($G334="","",$G334*0.15)</f>
        <v/>
      </c>
      <c r="K329" s="35" t="n"/>
      <c r="L329" s="26" t="n"/>
      <c r="M329" s="36">
        <f>IF($A334="","",IF(OR($H334="delivered",$H334="invoiced",$H334="paid"),1,0))</f>
        <v/>
      </c>
      <c r="N329" s="35">
        <f>IF($A334="","",IF(AND($M334=1,$J334&lt;&gt;""),$J334-IF($K334="",0,$K334),""))</f>
        <v/>
      </c>
    </row>
    <row r="330" ht="15" customHeight="1" s="27">
      <c r="A330" s="34" t="n"/>
      <c r="B330" s="26" t="n"/>
      <c r="C330" s="26" t="n"/>
      <c r="D330" s="26" t="n"/>
      <c r="E330" s="26" t="n"/>
      <c r="F330" s="26" t="n"/>
      <c r="G330" s="35" t="n"/>
      <c r="H330" s="26" t="n"/>
      <c r="I330" s="34" t="n"/>
      <c r="J330" s="35">
        <f>IF($G335="","",$G335*0.15)</f>
        <v/>
      </c>
      <c r="K330" s="35" t="n"/>
      <c r="L330" s="26" t="n"/>
      <c r="M330" s="36">
        <f>IF($A335="","",IF(OR($H335="delivered",$H335="invoiced",$H335="paid"),1,0))</f>
        <v/>
      </c>
      <c r="N330" s="35">
        <f>IF($A335="","",IF(AND($M335=1,$J335&lt;&gt;""),$J335-IF($K335="",0,$K335),""))</f>
        <v/>
      </c>
    </row>
    <row r="331" ht="15" customHeight="1" s="27">
      <c r="A331" s="34" t="n"/>
      <c r="B331" s="26" t="n"/>
      <c r="C331" s="26" t="n"/>
      <c r="D331" s="26" t="n"/>
      <c r="E331" s="26" t="n"/>
      <c r="F331" s="26" t="n"/>
      <c r="G331" s="35" t="n"/>
      <c r="H331" s="26" t="n"/>
      <c r="I331" s="34" t="n"/>
      <c r="J331" s="35">
        <f>IF($G336="","",$G336*0.15)</f>
        <v/>
      </c>
      <c r="K331" s="35" t="n"/>
      <c r="L331" s="26" t="n"/>
      <c r="M331" s="36">
        <f>IF($A336="","",IF(OR($H336="delivered",$H336="invoiced",$H336="paid"),1,0))</f>
        <v/>
      </c>
      <c r="N331" s="35">
        <f>IF($A336="","",IF(AND($M336=1,$J336&lt;&gt;""),$J336-IF($K336="",0,$K336),""))</f>
        <v/>
      </c>
    </row>
    <row r="332" ht="15" customHeight="1" s="27">
      <c r="A332" s="34" t="n"/>
      <c r="B332" s="26" t="n"/>
      <c r="C332" s="26" t="n"/>
      <c r="D332" s="26" t="n"/>
      <c r="E332" s="26" t="n"/>
      <c r="F332" s="26" t="n"/>
      <c r="G332" s="35" t="n"/>
      <c r="H332" s="26" t="n"/>
      <c r="I332" s="34" t="n"/>
      <c r="J332" s="35">
        <f>IF($G337="","",$G337*0.15)</f>
        <v/>
      </c>
      <c r="K332" s="35" t="n"/>
      <c r="L332" s="26" t="n"/>
      <c r="M332" s="36">
        <f>IF($A337="","",IF(OR($H337="delivered",$H337="invoiced",$H337="paid"),1,0))</f>
        <v/>
      </c>
      <c r="N332" s="35">
        <f>IF($A337="","",IF(AND($M337=1,$J337&lt;&gt;""),$J337-IF($K337="",0,$K337),""))</f>
        <v/>
      </c>
    </row>
    <row r="333" ht="15" customHeight="1" s="27">
      <c r="A333" s="34" t="n"/>
      <c r="B333" s="26" t="n"/>
      <c r="C333" s="26" t="n"/>
      <c r="D333" s="26" t="n"/>
      <c r="E333" s="26" t="n"/>
      <c r="F333" s="26" t="n"/>
      <c r="G333" s="35" t="n"/>
      <c r="H333" s="26" t="n"/>
      <c r="I333" s="34" t="n"/>
      <c r="J333" s="35">
        <f>IF($G338="","",$G338*0.15)</f>
        <v/>
      </c>
      <c r="K333" s="35" t="n"/>
      <c r="L333" s="26" t="n"/>
      <c r="M333" s="36">
        <f>IF($A338="","",IF(OR($H338="delivered",$H338="invoiced",$H338="paid"),1,0))</f>
        <v/>
      </c>
      <c r="N333" s="35">
        <f>IF($A338="","",IF(AND($M338=1,$J338&lt;&gt;""),$J338-IF($K338="",0,$K338),""))</f>
        <v/>
      </c>
    </row>
    <row r="334" ht="15" customHeight="1" s="27">
      <c r="A334" s="34" t="n"/>
      <c r="B334" s="26" t="n"/>
      <c r="C334" s="26" t="n"/>
      <c r="D334" s="26" t="n"/>
      <c r="E334" s="26" t="n"/>
      <c r="F334" s="26" t="n"/>
      <c r="G334" s="35" t="n"/>
      <c r="H334" s="26" t="n"/>
      <c r="I334" s="34" t="n"/>
      <c r="J334" s="35">
        <f>IF($G339="","",$G339*0.15)</f>
        <v/>
      </c>
      <c r="K334" s="35" t="n"/>
      <c r="L334" s="26" t="n"/>
      <c r="M334" s="36">
        <f>IF($A339="","",IF(OR($H339="delivered",$H339="invoiced",$H339="paid"),1,0))</f>
        <v/>
      </c>
      <c r="N334" s="35">
        <f>IF($A339="","",IF(AND($M339=1,$J339&lt;&gt;""),$J339-IF($K339="",0,$K339),""))</f>
        <v/>
      </c>
    </row>
    <row r="335" ht="15" customHeight="1" s="27">
      <c r="A335" s="34" t="n"/>
      <c r="B335" s="26" t="n"/>
      <c r="C335" s="26" t="n"/>
      <c r="D335" s="26" t="n"/>
      <c r="E335" s="26" t="n"/>
      <c r="F335" s="26" t="n"/>
      <c r="G335" s="35" t="n"/>
      <c r="H335" s="26" t="n"/>
      <c r="I335" s="34" t="n"/>
      <c r="J335" s="35">
        <f>IF($G340="","",$G340*0.15)</f>
        <v/>
      </c>
      <c r="K335" s="35" t="n"/>
      <c r="L335" s="26" t="n"/>
      <c r="M335" s="36">
        <f>IF($A340="","",IF(OR($H340="delivered",$H340="invoiced",$H340="paid"),1,0))</f>
        <v/>
      </c>
      <c r="N335" s="35">
        <f>IF($A340="","",IF(AND($M340=1,$J340&lt;&gt;""),$J340-IF($K340="",0,$K340),""))</f>
        <v/>
      </c>
    </row>
    <row r="336" ht="15" customHeight="1" s="27">
      <c r="A336" s="34" t="n"/>
      <c r="B336" s="26" t="n"/>
      <c r="C336" s="26" t="n"/>
      <c r="D336" s="26" t="n"/>
      <c r="E336" s="26" t="n"/>
      <c r="F336" s="26" t="n"/>
      <c r="G336" s="35" t="n"/>
      <c r="H336" s="26" t="n"/>
      <c r="I336" s="34" t="n"/>
      <c r="J336" s="35">
        <f>IF($G341="","",$G341*0.15)</f>
        <v/>
      </c>
      <c r="K336" s="35" t="n"/>
      <c r="L336" s="26" t="n"/>
      <c r="M336" s="36">
        <f>IF($A341="","",IF(OR($H341="delivered",$H341="invoiced",$H341="paid"),1,0))</f>
        <v/>
      </c>
      <c r="N336" s="35">
        <f>IF($A341="","",IF(AND($M341=1,$J341&lt;&gt;""),$J341-IF($K341="",0,$K341),""))</f>
        <v/>
      </c>
    </row>
    <row r="337" ht="15" customHeight="1" s="27">
      <c r="A337" s="34" t="n"/>
      <c r="B337" s="26" t="n"/>
      <c r="C337" s="26" t="n"/>
      <c r="D337" s="26" t="n"/>
      <c r="E337" s="26" t="n"/>
      <c r="F337" s="26" t="n"/>
      <c r="G337" s="35" t="n"/>
      <c r="H337" s="26" t="n"/>
      <c r="I337" s="34" t="n"/>
      <c r="J337" s="35">
        <f>IF($G342="","",$G342*0.15)</f>
        <v/>
      </c>
      <c r="K337" s="35" t="n"/>
      <c r="L337" s="26" t="n"/>
      <c r="M337" s="36">
        <f>IF($A342="","",IF(OR($H342="delivered",$H342="invoiced",$H342="paid"),1,0))</f>
        <v/>
      </c>
      <c r="N337" s="35">
        <f>IF($A342="","",IF(AND($M342=1,$J342&lt;&gt;""),$J342-IF($K342="",0,$K342),""))</f>
        <v/>
      </c>
    </row>
    <row r="338" ht="15" customHeight="1" s="27">
      <c r="A338" s="34" t="n"/>
      <c r="B338" s="26" t="n"/>
      <c r="C338" s="26" t="n"/>
      <c r="D338" s="26" t="n"/>
      <c r="E338" s="26" t="n"/>
      <c r="F338" s="26" t="n"/>
      <c r="G338" s="35" t="n"/>
      <c r="H338" s="26" t="n"/>
      <c r="I338" s="34" t="n"/>
      <c r="J338" s="35">
        <f>IF($G343="","",$G343*0.15)</f>
        <v/>
      </c>
      <c r="K338" s="35" t="n"/>
      <c r="L338" s="26" t="n"/>
      <c r="M338" s="36">
        <f>IF($A343="","",IF(OR($H343="delivered",$H343="invoiced",$H343="paid"),1,0))</f>
        <v/>
      </c>
      <c r="N338" s="35">
        <f>IF($A343="","",IF(AND($M343=1,$J343&lt;&gt;""),$J343-IF($K343="",0,$K343),""))</f>
        <v/>
      </c>
    </row>
    <row r="339" ht="15" customHeight="1" s="27">
      <c r="A339" s="34" t="n"/>
      <c r="B339" s="26" t="n"/>
      <c r="C339" s="26" t="n"/>
      <c r="D339" s="26" t="n"/>
      <c r="E339" s="26" t="n"/>
      <c r="F339" s="26" t="n"/>
      <c r="G339" s="35" t="n"/>
      <c r="H339" s="26" t="n"/>
      <c r="I339" s="34" t="n"/>
      <c r="J339" s="35">
        <f>IF($G344="","",$G344*0.15)</f>
        <v/>
      </c>
      <c r="K339" s="35" t="n"/>
      <c r="L339" s="26" t="n"/>
      <c r="M339" s="36">
        <f>IF($A344="","",IF(OR($H344="delivered",$H344="invoiced",$H344="paid"),1,0))</f>
        <v/>
      </c>
      <c r="N339" s="35">
        <f>IF($A344="","",IF(AND($M344=1,$J344&lt;&gt;""),$J344-IF($K344="",0,$K344),""))</f>
        <v/>
      </c>
    </row>
    <row r="340" ht="15" customHeight="1" s="27">
      <c r="A340" s="34" t="n"/>
      <c r="B340" s="26" t="n"/>
      <c r="C340" s="26" t="n"/>
      <c r="D340" s="26" t="n"/>
      <c r="E340" s="26" t="n"/>
      <c r="F340" s="26" t="n"/>
      <c r="G340" s="35" t="n"/>
      <c r="H340" s="26" t="n"/>
      <c r="I340" s="34" t="n"/>
      <c r="J340" s="35">
        <f>IF($G345="","",$G345*0.15)</f>
        <v/>
      </c>
      <c r="K340" s="35" t="n"/>
      <c r="L340" s="26" t="n"/>
      <c r="M340" s="36">
        <f>IF($A345="","",IF(OR($H345="delivered",$H345="invoiced",$H345="paid"),1,0))</f>
        <v/>
      </c>
      <c r="N340" s="35">
        <f>IF($A345="","",IF(AND($M345=1,$J345&lt;&gt;""),$J345-IF($K345="",0,$K345),""))</f>
        <v/>
      </c>
    </row>
    <row r="341" ht="15" customHeight="1" s="27">
      <c r="A341" s="34" t="n"/>
      <c r="B341" s="26" t="n"/>
      <c r="C341" s="26" t="n"/>
      <c r="D341" s="26" t="n"/>
      <c r="E341" s="26" t="n"/>
      <c r="F341" s="26" t="n"/>
      <c r="G341" s="35" t="n"/>
      <c r="H341" s="26" t="n"/>
      <c r="I341" s="34" t="n"/>
      <c r="J341" s="35">
        <f>IF($G346="","",$G346*0.15)</f>
        <v/>
      </c>
      <c r="K341" s="35" t="n"/>
      <c r="L341" s="26" t="n"/>
      <c r="M341" s="36">
        <f>IF($A346="","",IF(OR($H346="delivered",$H346="invoiced",$H346="paid"),1,0))</f>
        <v/>
      </c>
      <c r="N341" s="35">
        <f>IF($A346="","",IF(AND($M346=1,$J346&lt;&gt;""),$J346-IF($K346="",0,$K346),""))</f>
        <v/>
      </c>
    </row>
    <row r="342" ht="15" customHeight="1" s="27">
      <c r="A342" s="34" t="n"/>
      <c r="B342" s="26" t="n"/>
      <c r="C342" s="26" t="n"/>
      <c r="D342" s="26" t="n"/>
      <c r="E342" s="26" t="n"/>
      <c r="F342" s="26" t="n"/>
      <c r="G342" s="35" t="n"/>
      <c r="H342" s="26" t="n"/>
      <c r="I342" s="34" t="n"/>
      <c r="J342" s="35">
        <f>IF($G347="","",$G347*0.15)</f>
        <v/>
      </c>
      <c r="K342" s="35" t="n"/>
      <c r="L342" s="26" t="n"/>
      <c r="M342" s="36">
        <f>IF($A347="","",IF(OR($H347="delivered",$H347="invoiced",$H347="paid"),1,0))</f>
        <v/>
      </c>
      <c r="N342" s="35">
        <f>IF($A347="","",IF(AND($M347=1,$J347&lt;&gt;""),$J347-IF($K347="",0,$K347),""))</f>
        <v/>
      </c>
    </row>
    <row r="343" ht="15" customHeight="1" s="27">
      <c r="A343" s="34" t="n"/>
      <c r="B343" s="26" t="n"/>
      <c r="C343" s="26" t="n"/>
      <c r="D343" s="26" t="n"/>
      <c r="E343" s="26" t="n"/>
      <c r="F343" s="26" t="n"/>
      <c r="G343" s="35" t="n"/>
      <c r="H343" s="26" t="n"/>
      <c r="I343" s="34" t="n"/>
      <c r="J343" s="35">
        <f>IF($G348="","",$G348*0.15)</f>
        <v/>
      </c>
      <c r="K343" s="35" t="n"/>
      <c r="L343" s="26" t="n"/>
      <c r="M343" s="36">
        <f>IF($A348="","",IF(OR($H348="delivered",$H348="invoiced",$H348="paid"),1,0))</f>
        <v/>
      </c>
      <c r="N343" s="35">
        <f>IF($A348="","",IF(AND($M348=1,$J348&lt;&gt;""),$J348-IF($K348="",0,$K348),""))</f>
        <v/>
      </c>
    </row>
    <row r="344" ht="15" customHeight="1" s="27">
      <c r="A344" s="34" t="n"/>
      <c r="B344" s="26" t="n"/>
      <c r="C344" s="26" t="n"/>
      <c r="D344" s="26" t="n"/>
      <c r="E344" s="26" t="n"/>
      <c r="F344" s="26" t="n"/>
      <c r="G344" s="35" t="n"/>
      <c r="H344" s="26" t="n"/>
      <c r="I344" s="34" t="n"/>
      <c r="J344" s="35">
        <f>IF($G349="","",$G349*0.15)</f>
        <v/>
      </c>
      <c r="K344" s="35" t="n"/>
      <c r="L344" s="26" t="n"/>
      <c r="M344" s="36">
        <f>IF($A349="","",IF(OR($H349="delivered",$H349="invoiced",$H349="paid"),1,0))</f>
        <v/>
      </c>
      <c r="N344" s="35">
        <f>IF($A349="","",IF(AND($M349=1,$J349&lt;&gt;""),$J349-IF($K349="",0,$K349),""))</f>
        <v/>
      </c>
    </row>
    <row r="345" ht="15" customHeight="1" s="27">
      <c r="A345" s="34" t="n"/>
      <c r="B345" s="26" t="n"/>
      <c r="C345" s="26" t="n"/>
      <c r="D345" s="26" t="n"/>
      <c r="E345" s="26" t="n"/>
      <c r="F345" s="26" t="n"/>
      <c r="G345" s="35" t="n"/>
      <c r="H345" s="26" t="n"/>
      <c r="I345" s="34" t="n"/>
      <c r="J345" s="35">
        <f>IF($G350="","",$G350*0.15)</f>
        <v/>
      </c>
      <c r="K345" s="35" t="n"/>
      <c r="L345" s="26" t="n"/>
      <c r="M345" s="36">
        <f>IF($A350="","",IF(OR($H350="delivered",$H350="invoiced",$H350="paid"),1,0))</f>
        <v/>
      </c>
      <c r="N345" s="35">
        <f>IF($A350="","",IF(AND($M350=1,$J350&lt;&gt;""),$J350-IF($K350="",0,$K350),""))</f>
        <v/>
      </c>
    </row>
    <row r="346" ht="15" customHeight="1" s="27">
      <c r="A346" s="34" t="n"/>
      <c r="B346" s="26" t="n"/>
      <c r="C346" s="26" t="n"/>
      <c r="D346" s="26" t="n"/>
      <c r="E346" s="26" t="n"/>
      <c r="F346" s="26" t="n"/>
      <c r="G346" s="35" t="n"/>
      <c r="H346" s="26" t="n"/>
      <c r="I346" s="34" t="n"/>
      <c r="J346" s="35">
        <f>IF($G351="","",$G351*0.15)</f>
        <v/>
      </c>
      <c r="K346" s="35" t="n"/>
      <c r="L346" s="26" t="n"/>
      <c r="M346" s="36">
        <f>IF($A351="","",IF(OR($H351="delivered",$H351="invoiced",$H351="paid"),1,0))</f>
        <v/>
      </c>
      <c r="N346" s="35">
        <f>IF($A351="","",IF(AND($M351=1,$J351&lt;&gt;""),$J351-IF($K351="",0,$K351),""))</f>
        <v/>
      </c>
    </row>
    <row r="347" ht="15" customHeight="1" s="27">
      <c r="A347" s="34" t="n"/>
      <c r="B347" s="26" t="n"/>
      <c r="C347" s="26" t="n"/>
      <c r="D347" s="26" t="n"/>
      <c r="E347" s="26" t="n"/>
      <c r="F347" s="26" t="n"/>
      <c r="G347" s="35" t="n"/>
      <c r="H347" s="26" t="n"/>
      <c r="I347" s="34" t="n"/>
      <c r="J347" s="35">
        <f>IF($G352="","",$G352*0.15)</f>
        <v/>
      </c>
      <c r="K347" s="35" t="n"/>
      <c r="L347" s="26" t="n"/>
      <c r="M347" s="36">
        <f>IF($A352="","",IF(OR($H352="delivered",$H352="invoiced",$H352="paid"),1,0))</f>
        <v/>
      </c>
      <c r="N347" s="35">
        <f>IF($A352="","",IF(AND($M352=1,$J352&lt;&gt;""),$J352-IF($K352="",0,$K352),""))</f>
        <v/>
      </c>
    </row>
    <row r="348" ht="15" customHeight="1" s="27">
      <c r="A348" s="34" t="n"/>
      <c r="B348" s="26" t="n"/>
      <c r="C348" s="26" t="n"/>
      <c r="D348" s="26" t="n"/>
      <c r="E348" s="26" t="n"/>
      <c r="F348" s="26" t="n"/>
      <c r="G348" s="35" t="n"/>
      <c r="H348" s="26" t="n"/>
      <c r="I348" s="34" t="n"/>
      <c r="J348" s="35">
        <f>IF($G353="","",$G353*0.15)</f>
        <v/>
      </c>
      <c r="K348" s="35" t="n"/>
      <c r="L348" s="26" t="n"/>
      <c r="M348" s="36">
        <f>IF($A353="","",IF(OR($H353="delivered",$H353="invoiced",$H353="paid"),1,0))</f>
        <v/>
      </c>
      <c r="N348" s="35">
        <f>IF($A353="","",IF(AND($M353=1,$J353&lt;&gt;""),$J353-IF($K353="",0,$K353),""))</f>
        <v/>
      </c>
    </row>
    <row r="349" ht="15" customHeight="1" s="27">
      <c r="A349" s="34" t="n"/>
      <c r="B349" s="26" t="n"/>
      <c r="C349" s="26" t="n"/>
      <c r="D349" s="26" t="n"/>
      <c r="E349" s="26" t="n"/>
      <c r="F349" s="26" t="n"/>
      <c r="G349" s="35" t="n"/>
      <c r="H349" s="26" t="n"/>
      <c r="I349" s="34" t="n"/>
      <c r="J349" s="35">
        <f>IF($G354="","",$G354*0.15)</f>
        <v/>
      </c>
      <c r="K349" s="35" t="n"/>
      <c r="L349" s="26" t="n"/>
      <c r="M349" s="36">
        <f>IF($A354="","",IF(OR($H354="delivered",$H354="invoiced",$H354="paid"),1,0))</f>
        <v/>
      </c>
      <c r="N349" s="35">
        <f>IF($A354="","",IF(AND($M354=1,$J354&lt;&gt;""),$J354-IF($K354="",0,$K354),""))</f>
        <v/>
      </c>
    </row>
    <row r="350" ht="15" customHeight="1" s="27">
      <c r="A350" s="34" t="n"/>
      <c r="B350" s="26" t="n"/>
      <c r="C350" s="26" t="n"/>
      <c r="D350" s="26" t="n"/>
      <c r="E350" s="26" t="n"/>
      <c r="F350" s="26" t="n"/>
      <c r="G350" s="35" t="n"/>
      <c r="H350" s="26" t="n"/>
      <c r="I350" s="34" t="n"/>
      <c r="J350" s="35">
        <f>IF($G355="","",$G355*0.15)</f>
        <v/>
      </c>
      <c r="K350" s="35" t="n"/>
      <c r="L350" s="26" t="n"/>
      <c r="M350" s="36">
        <f>IF($A355="","",IF(OR($H355="delivered",$H355="invoiced",$H355="paid"),1,0))</f>
        <v/>
      </c>
      <c r="N350" s="35">
        <f>IF($A355="","",IF(AND($M355=1,$J355&lt;&gt;""),$J355-IF($K355="",0,$K355),""))</f>
        <v/>
      </c>
    </row>
    <row r="351" ht="15" customHeight="1" s="27">
      <c r="A351" s="34" t="n"/>
      <c r="B351" s="26" t="n"/>
      <c r="C351" s="26" t="n"/>
      <c r="D351" s="26" t="n"/>
      <c r="E351" s="26" t="n"/>
      <c r="F351" s="26" t="n"/>
      <c r="G351" s="35" t="n"/>
      <c r="H351" s="26" t="n"/>
      <c r="I351" s="34" t="n"/>
      <c r="J351" s="35">
        <f>IF($G356="","",$G356*0.15)</f>
        <v/>
      </c>
      <c r="K351" s="35" t="n"/>
      <c r="L351" s="26" t="n"/>
      <c r="M351" s="36">
        <f>IF($A356="","",IF(OR($H356="delivered",$H356="invoiced",$H356="paid"),1,0))</f>
        <v/>
      </c>
      <c r="N351" s="35">
        <f>IF($A356="","",IF(AND($M356=1,$J356&lt;&gt;""),$J356-IF($K356="",0,$K356),""))</f>
        <v/>
      </c>
    </row>
    <row r="352" ht="15" customHeight="1" s="27">
      <c r="A352" s="34" t="n"/>
      <c r="B352" s="26" t="n"/>
      <c r="C352" s="26" t="n"/>
      <c r="D352" s="26" t="n"/>
      <c r="E352" s="26" t="n"/>
      <c r="F352" s="26" t="n"/>
      <c r="G352" s="35" t="n"/>
      <c r="H352" s="26" t="n"/>
      <c r="I352" s="34" t="n"/>
      <c r="J352" s="35">
        <f>IF($G357="","",$G357*0.15)</f>
        <v/>
      </c>
      <c r="K352" s="35" t="n"/>
      <c r="L352" s="26" t="n"/>
      <c r="M352" s="36">
        <f>IF($A357="","",IF(OR($H357="delivered",$H357="invoiced",$H357="paid"),1,0))</f>
        <v/>
      </c>
      <c r="N352" s="35">
        <f>IF($A357="","",IF(AND($M357=1,$J357&lt;&gt;""),$J357-IF($K357="",0,$K357),""))</f>
        <v/>
      </c>
    </row>
    <row r="353" ht="15" customHeight="1" s="27">
      <c r="A353" s="34" t="n"/>
      <c r="B353" s="26" t="n"/>
      <c r="C353" s="26" t="n"/>
      <c r="D353" s="26" t="n"/>
      <c r="E353" s="26" t="n"/>
      <c r="F353" s="26" t="n"/>
      <c r="G353" s="35" t="n"/>
      <c r="H353" s="26" t="n"/>
      <c r="I353" s="34" t="n"/>
      <c r="J353" s="35">
        <f>IF($G358="","",$G358*0.15)</f>
        <v/>
      </c>
      <c r="K353" s="35" t="n"/>
      <c r="L353" s="26" t="n"/>
      <c r="M353" s="36">
        <f>IF($A358="","",IF(OR($H358="delivered",$H358="invoiced",$H358="paid"),1,0))</f>
        <v/>
      </c>
      <c r="N353" s="35">
        <f>IF($A358="","",IF(AND($M358=1,$J358&lt;&gt;""),$J358-IF($K358="",0,$K358),""))</f>
        <v/>
      </c>
    </row>
    <row r="354" ht="15" customHeight="1" s="27">
      <c r="A354" s="34" t="n"/>
      <c r="B354" s="26" t="n"/>
      <c r="C354" s="26" t="n"/>
      <c r="D354" s="26" t="n"/>
      <c r="E354" s="26" t="n"/>
      <c r="F354" s="26" t="n"/>
      <c r="G354" s="35" t="n"/>
      <c r="H354" s="26" t="n"/>
      <c r="I354" s="34" t="n"/>
      <c r="J354" s="35">
        <f>IF($G359="","",$G359*0.15)</f>
        <v/>
      </c>
      <c r="K354" s="35" t="n"/>
      <c r="L354" s="26" t="n"/>
      <c r="M354" s="36">
        <f>IF($A359="","",IF(OR($H359="delivered",$H359="invoiced",$H359="paid"),1,0))</f>
        <v/>
      </c>
      <c r="N354" s="35">
        <f>IF($A359="","",IF(AND($M359=1,$J359&lt;&gt;""),$J359-IF($K359="",0,$K359),""))</f>
        <v/>
      </c>
    </row>
    <row r="355" ht="15" customHeight="1" s="27">
      <c r="A355" s="34" t="n"/>
      <c r="B355" s="26" t="n"/>
      <c r="C355" s="26" t="n"/>
      <c r="D355" s="26" t="n"/>
      <c r="E355" s="26" t="n"/>
      <c r="F355" s="26" t="n"/>
      <c r="G355" s="35" t="n"/>
      <c r="H355" s="26" t="n"/>
      <c r="I355" s="34" t="n"/>
      <c r="J355" s="35">
        <f>IF($G360="","",$G360*0.15)</f>
        <v/>
      </c>
      <c r="K355" s="35" t="n"/>
      <c r="L355" s="26" t="n"/>
      <c r="M355" s="36">
        <f>IF($A360="","",IF(OR($H360="delivered",$H360="invoiced",$H360="paid"),1,0))</f>
        <v/>
      </c>
      <c r="N355" s="35">
        <f>IF($A360="","",IF(AND($M360=1,$J360&lt;&gt;""),$J360-IF($K360="",0,$K360),""))</f>
        <v/>
      </c>
    </row>
    <row r="356" ht="15" customHeight="1" s="27">
      <c r="A356" s="34" t="n"/>
      <c r="B356" s="26" t="n"/>
      <c r="C356" s="26" t="n"/>
      <c r="D356" s="26" t="n"/>
      <c r="E356" s="26" t="n"/>
      <c r="F356" s="26" t="n"/>
      <c r="G356" s="35" t="n"/>
      <c r="H356" s="26" t="n"/>
      <c r="I356" s="34" t="n"/>
      <c r="J356" s="35">
        <f>IF($G361="","",$G361*0.15)</f>
        <v/>
      </c>
      <c r="K356" s="35" t="n"/>
      <c r="L356" s="26" t="n"/>
      <c r="M356" s="36">
        <f>IF($A361="","",IF(OR($H361="delivered",$H361="invoiced",$H361="paid"),1,0))</f>
        <v/>
      </c>
      <c r="N356" s="35">
        <f>IF($A361="","",IF(AND($M361=1,$J361&lt;&gt;""),$J361-IF($K361="",0,$K361),""))</f>
        <v/>
      </c>
    </row>
    <row r="357" ht="15" customHeight="1" s="27">
      <c r="A357" s="34" t="n"/>
      <c r="B357" s="26" t="n"/>
      <c r="C357" s="26" t="n"/>
      <c r="D357" s="26" t="n"/>
      <c r="E357" s="26" t="n"/>
      <c r="F357" s="26" t="n"/>
      <c r="G357" s="35" t="n"/>
      <c r="H357" s="26" t="n"/>
      <c r="I357" s="34" t="n"/>
      <c r="J357" s="35">
        <f>IF($G362="","",$G362*0.15)</f>
        <v/>
      </c>
      <c r="K357" s="35" t="n"/>
      <c r="L357" s="26" t="n"/>
      <c r="M357" s="36">
        <f>IF($A362="","",IF(OR($H362="delivered",$H362="invoiced",$H362="paid"),1,0))</f>
        <v/>
      </c>
      <c r="N357" s="35">
        <f>IF($A362="","",IF(AND($M362=1,$J362&lt;&gt;""),$J362-IF($K362="",0,$K362),""))</f>
        <v/>
      </c>
    </row>
    <row r="358" ht="15" customHeight="1" s="27">
      <c r="A358" s="34" t="n"/>
      <c r="B358" s="26" t="n"/>
      <c r="C358" s="26" t="n"/>
      <c r="D358" s="26" t="n"/>
      <c r="E358" s="26" t="n"/>
      <c r="F358" s="26" t="n"/>
      <c r="G358" s="35" t="n"/>
      <c r="H358" s="26" t="n"/>
      <c r="I358" s="34" t="n"/>
      <c r="J358" s="35">
        <f>IF($G363="","",$G363*0.15)</f>
        <v/>
      </c>
      <c r="K358" s="35" t="n"/>
      <c r="L358" s="26" t="n"/>
      <c r="M358" s="36">
        <f>IF($A363="","",IF(OR($H363="delivered",$H363="invoiced",$H363="paid"),1,0))</f>
        <v/>
      </c>
      <c r="N358" s="35">
        <f>IF($A363="","",IF(AND($M363=1,$J363&lt;&gt;""),$J363-IF($K363="",0,$K363),""))</f>
        <v/>
      </c>
    </row>
    <row r="359" ht="15" customHeight="1" s="27">
      <c r="A359" s="34" t="n"/>
      <c r="B359" s="26" t="n"/>
      <c r="C359" s="26" t="n"/>
      <c r="D359" s="26" t="n"/>
      <c r="E359" s="26" t="n"/>
      <c r="F359" s="26" t="n"/>
      <c r="G359" s="35" t="n"/>
      <c r="H359" s="26" t="n"/>
      <c r="I359" s="34" t="n"/>
      <c r="J359" s="35">
        <f>IF($G364="","",$G364*0.15)</f>
        <v/>
      </c>
      <c r="K359" s="35" t="n"/>
      <c r="L359" s="26" t="n"/>
      <c r="M359" s="36">
        <f>IF($A364="","",IF(OR($H364="delivered",$H364="invoiced",$H364="paid"),1,0))</f>
        <v/>
      </c>
      <c r="N359" s="35">
        <f>IF($A364="","",IF(AND($M364=1,$J364&lt;&gt;""),$J364-IF($K364="",0,$K364),""))</f>
        <v/>
      </c>
    </row>
    <row r="360" ht="15" customHeight="1" s="27">
      <c r="A360" s="34" t="n"/>
      <c r="B360" s="26" t="n"/>
      <c r="C360" s="26" t="n"/>
      <c r="D360" s="26" t="n"/>
      <c r="E360" s="26" t="n"/>
      <c r="F360" s="26" t="n"/>
      <c r="G360" s="35" t="n"/>
      <c r="H360" s="26" t="n"/>
      <c r="I360" s="34" t="n"/>
      <c r="J360" s="35">
        <f>IF($G365="","",$G365*0.15)</f>
        <v/>
      </c>
      <c r="K360" s="35" t="n"/>
      <c r="L360" s="26" t="n"/>
      <c r="M360" s="36">
        <f>IF($A365="","",IF(OR($H365="delivered",$H365="invoiced",$H365="paid"),1,0))</f>
        <v/>
      </c>
      <c r="N360" s="35">
        <f>IF($A365="","",IF(AND($M365=1,$J365&lt;&gt;""),$J365-IF($K365="",0,$K365),""))</f>
        <v/>
      </c>
    </row>
    <row r="361" ht="15" customHeight="1" s="27">
      <c r="A361" s="34" t="n"/>
      <c r="B361" s="26" t="n"/>
      <c r="C361" s="26" t="n"/>
      <c r="D361" s="26" t="n"/>
      <c r="E361" s="26" t="n"/>
      <c r="F361" s="26" t="n"/>
      <c r="G361" s="35" t="n"/>
      <c r="H361" s="26" t="n"/>
      <c r="I361" s="34" t="n"/>
      <c r="J361" s="35">
        <f>IF($G366="","",$G366*0.15)</f>
        <v/>
      </c>
      <c r="K361" s="35" t="n"/>
      <c r="L361" s="26" t="n"/>
      <c r="M361" s="36">
        <f>IF($A366="","",IF(OR($H366="delivered",$H366="invoiced",$H366="paid"),1,0))</f>
        <v/>
      </c>
      <c r="N361" s="35">
        <f>IF($A366="","",IF(AND($M366=1,$J366&lt;&gt;""),$J366-IF($K366="",0,$K366),""))</f>
        <v/>
      </c>
    </row>
    <row r="362" ht="15" customHeight="1" s="27">
      <c r="A362" s="34" t="n"/>
      <c r="B362" s="26" t="n"/>
      <c r="C362" s="26" t="n"/>
      <c r="D362" s="26" t="n"/>
      <c r="E362" s="26" t="n"/>
      <c r="F362" s="26" t="n"/>
      <c r="G362" s="35" t="n"/>
      <c r="H362" s="26" t="n"/>
      <c r="I362" s="34" t="n"/>
      <c r="J362" s="35">
        <f>IF($G367="","",$G367*0.15)</f>
        <v/>
      </c>
      <c r="K362" s="35" t="n"/>
      <c r="L362" s="26" t="n"/>
      <c r="M362" s="36">
        <f>IF($A367="","",IF(OR($H367="delivered",$H367="invoiced",$H367="paid"),1,0))</f>
        <v/>
      </c>
      <c r="N362" s="35">
        <f>IF($A367="","",IF(AND($M367=1,$J367&lt;&gt;""),$J367-IF($K367="",0,$K367),""))</f>
        <v/>
      </c>
    </row>
    <row r="363" ht="15" customHeight="1" s="27">
      <c r="A363" s="34" t="n"/>
      <c r="B363" s="26" t="n"/>
      <c r="C363" s="26" t="n"/>
      <c r="D363" s="26" t="n"/>
      <c r="E363" s="26" t="n"/>
      <c r="F363" s="26" t="n"/>
      <c r="G363" s="35" t="n"/>
      <c r="H363" s="26" t="n"/>
      <c r="I363" s="34" t="n"/>
      <c r="J363" s="35">
        <f>IF($G368="","",$G368*0.15)</f>
        <v/>
      </c>
      <c r="K363" s="35" t="n"/>
      <c r="L363" s="26" t="n"/>
      <c r="M363" s="36">
        <f>IF($A368="","",IF(OR($H368="delivered",$H368="invoiced",$H368="paid"),1,0))</f>
        <v/>
      </c>
      <c r="N363" s="35">
        <f>IF($A368="","",IF(AND($M368=1,$J368&lt;&gt;""),$J368-IF($K368="",0,$K368),""))</f>
        <v/>
      </c>
    </row>
    <row r="364" ht="15" customHeight="1" s="27">
      <c r="A364" s="34" t="n"/>
      <c r="B364" s="26" t="n"/>
      <c r="C364" s="26" t="n"/>
      <c r="D364" s="26" t="n"/>
      <c r="E364" s="26" t="n"/>
      <c r="F364" s="26" t="n"/>
      <c r="G364" s="35" t="n"/>
      <c r="H364" s="26" t="n"/>
      <c r="I364" s="34" t="n"/>
      <c r="J364" s="35">
        <f>IF($G369="","",$G369*0.15)</f>
        <v/>
      </c>
      <c r="K364" s="35" t="n"/>
      <c r="L364" s="26" t="n"/>
      <c r="M364" s="36">
        <f>IF($A369="","",IF(OR($H369="delivered",$H369="invoiced",$H369="paid"),1,0))</f>
        <v/>
      </c>
      <c r="N364" s="35">
        <f>IF($A369="","",IF(AND($M369=1,$J369&lt;&gt;""),$J369-IF($K369="",0,$K369),""))</f>
        <v/>
      </c>
    </row>
    <row r="365" ht="15" customHeight="1" s="27">
      <c r="A365" s="34" t="n"/>
      <c r="B365" s="26" t="n"/>
      <c r="C365" s="26" t="n"/>
      <c r="D365" s="26" t="n"/>
      <c r="E365" s="26" t="n"/>
      <c r="F365" s="26" t="n"/>
      <c r="G365" s="35" t="n"/>
      <c r="H365" s="26" t="n"/>
      <c r="I365" s="34" t="n"/>
      <c r="J365" s="35">
        <f>IF($G370="","",$G370*0.15)</f>
        <v/>
      </c>
      <c r="K365" s="35" t="n"/>
      <c r="L365" s="26" t="n"/>
      <c r="M365" s="36">
        <f>IF($A370="","",IF(OR($H370="delivered",$H370="invoiced",$H370="paid"),1,0))</f>
        <v/>
      </c>
      <c r="N365" s="35">
        <f>IF($A370="","",IF(AND($M370=1,$J370&lt;&gt;""),$J370-IF($K370="",0,$K370),""))</f>
        <v/>
      </c>
    </row>
    <row r="366" ht="15" customHeight="1" s="27">
      <c r="A366" s="34" t="n"/>
      <c r="B366" s="26" t="n"/>
      <c r="C366" s="26" t="n"/>
      <c r="D366" s="26" t="n"/>
      <c r="E366" s="26" t="n"/>
      <c r="F366" s="26" t="n"/>
      <c r="G366" s="35" t="n"/>
      <c r="H366" s="26" t="n"/>
      <c r="I366" s="34" t="n"/>
      <c r="J366" s="35">
        <f>IF($G371="","",$G371*0.15)</f>
        <v/>
      </c>
      <c r="K366" s="35" t="n"/>
      <c r="L366" s="26" t="n"/>
      <c r="M366" s="36">
        <f>IF($A371="","",IF(OR($H371="delivered",$H371="invoiced",$H371="paid"),1,0))</f>
        <v/>
      </c>
      <c r="N366" s="35">
        <f>IF($A371="","",IF(AND($M371=1,$J371&lt;&gt;""),$J371-IF($K371="",0,$K371),""))</f>
        <v/>
      </c>
    </row>
    <row r="367" ht="15" customHeight="1" s="27">
      <c r="A367" s="34" t="n"/>
      <c r="B367" s="26" t="n"/>
      <c r="C367" s="26" t="n"/>
      <c r="D367" s="26" t="n"/>
      <c r="E367" s="26" t="n"/>
      <c r="F367" s="26" t="n"/>
      <c r="G367" s="35" t="n"/>
      <c r="H367" s="26" t="n"/>
      <c r="I367" s="34" t="n"/>
      <c r="J367" s="35">
        <f>IF($G372="","",$G372*0.15)</f>
        <v/>
      </c>
      <c r="K367" s="35" t="n"/>
      <c r="L367" s="26" t="n"/>
      <c r="M367" s="36">
        <f>IF($A372="","",IF(OR($H372="delivered",$H372="invoiced",$H372="paid"),1,0))</f>
        <v/>
      </c>
      <c r="N367" s="35">
        <f>IF($A372="","",IF(AND($M372=1,$J372&lt;&gt;""),$J372-IF($K372="",0,$K372),""))</f>
        <v/>
      </c>
    </row>
    <row r="368" ht="15" customHeight="1" s="27">
      <c r="A368" s="34" t="n"/>
      <c r="B368" s="26" t="n"/>
      <c r="C368" s="26" t="n"/>
      <c r="D368" s="26" t="n"/>
      <c r="E368" s="26" t="n"/>
      <c r="F368" s="26" t="n"/>
      <c r="G368" s="35" t="n"/>
      <c r="H368" s="26" t="n"/>
      <c r="I368" s="34" t="n"/>
      <c r="J368" s="35">
        <f>IF($G373="","",$G373*0.15)</f>
        <v/>
      </c>
      <c r="K368" s="35" t="n"/>
      <c r="L368" s="26" t="n"/>
      <c r="M368" s="36">
        <f>IF($A373="","",IF(OR($H373="delivered",$H373="invoiced",$H373="paid"),1,0))</f>
        <v/>
      </c>
      <c r="N368" s="35">
        <f>IF($A373="","",IF(AND($M373=1,$J373&lt;&gt;""),$J373-IF($K373="",0,$K373),""))</f>
        <v/>
      </c>
    </row>
    <row r="369" ht="15" customHeight="1" s="27">
      <c r="A369" s="34" t="n"/>
      <c r="B369" s="26" t="n"/>
      <c r="C369" s="26" t="n"/>
      <c r="D369" s="26" t="n"/>
      <c r="E369" s="26" t="n"/>
      <c r="F369" s="26" t="n"/>
      <c r="G369" s="35" t="n"/>
      <c r="H369" s="26" t="n"/>
      <c r="I369" s="34" t="n"/>
      <c r="J369" s="35">
        <f>IF($G374="","",$G374*0.15)</f>
        <v/>
      </c>
      <c r="K369" s="35" t="n"/>
      <c r="L369" s="26" t="n"/>
      <c r="M369" s="36">
        <f>IF($A374="","",IF(OR($H374="delivered",$H374="invoiced",$H374="paid"),1,0))</f>
        <v/>
      </c>
      <c r="N369" s="35">
        <f>IF($A374="","",IF(AND($M374=1,$J374&lt;&gt;""),$J374-IF($K374="",0,$K374),""))</f>
        <v/>
      </c>
    </row>
    <row r="370" ht="15" customHeight="1" s="27">
      <c r="A370" s="34" t="n"/>
      <c r="B370" s="26" t="n"/>
      <c r="C370" s="26" t="n"/>
      <c r="D370" s="26" t="n"/>
      <c r="E370" s="26" t="n"/>
      <c r="F370" s="26" t="n"/>
      <c r="G370" s="35" t="n"/>
      <c r="H370" s="26" t="n"/>
      <c r="I370" s="34" t="n"/>
      <c r="J370" s="35">
        <f>IF($G375="","",$G375*0.15)</f>
        <v/>
      </c>
      <c r="K370" s="35" t="n"/>
      <c r="L370" s="26" t="n"/>
      <c r="M370" s="36">
        <f>IF($A375="","",IF(OR($H375="delivered",$H375="invoiced",$H375="paid"),1,0))</f>
        <v/>
      </c>
      <c r="N370" s="35">
        <f>IF($A375="","",IF(AND($M375=1,$J375&lt;&gt;""),$J375-IF($K375="",0,$K375),""))</f>
        <v/>
      </c>
    </row>
    <row r="371" ht="15" customHeight="1" s="27">
      <c r="A371" s="34" t="n"/>
      <c r="B371" s="26" t="n"/>
      <c r="C371" s="26" t="n"/>
      <c r="D371" s="26" t="n"/>
      <c r="E371" s="26" t="n"/>
      <c r="F371" s="26" t="n"/>
      <c r="G371" s="35" t="n"/>
      <c r="H371" s="26" t="n"/>
      <c r="I371" s="34" t="n"/>
      <c r="J371" s="35">
        <f>IF($G376="","",$G376*0.15)</f>
        <v/>
      </c>
      <c r="K371" s="35" t="n"/>
      <c r="L371" s="26" t="n"/>
      <c r="M371" s="36">
        <f>IF($A376="","",IF(OR($H376="delivered",$H376="invoiced",$H376="paid"),1,0))</f>
        <v/>
      </c>
      <c r="N371" s="35">
        <f>IF($A376="","",IF(AND($M376=1,$J376&lt;&gt;""),$J376-IF($K376="",0,$K376),""))</f>
        <v/>
      </c>
    </row>
    <row r="372" ht="15" customHeight="1" s="27">
      <c r="A372" s="34" t="n"/>
      <c r="B372" s="26" t="n"/>
      <c r="C372" s="26" t="n"/>
      <c r="D372" s="26" t="n"/>
      <c r="E372" s="26" t="n"/>
      <c r="F372" s="26" t="n"/>
      <c r="G372" s="35" t="n"/>
      <c r="H372" s="26" t="n"/>
      <c r="I372" s="34" t="n"/>
      <c r="J372" s="35">
        <f>IF($G377="","",$G377*0.15)</f>
        <v/>
      </c>
      <c r="K372" s="35" t="n"/>
      <c r="L372" s="26" t="n"/>
      <c r="M372" s="36">
        <f>IF($A377="","",IF(OR($H377="delivered",$H377="invoiced",$H377="paid"),1,0))</f>
        <v/>
      </c>
      <c r="N372" s="35">
        <f>IF($A377="","",IF(AND($M377=1,$J377&lt;&gt;""),$J377-IF($K377="",0,$K377),""))</f>
        <v/>
      </c>
    </row>
    <row r="373" ht="15" customHeight="1" s="27">
      <c r="A373" s="34" t="n"/>
      <c r="B373" s="26" t="n"/>
      <c r="C373" s="26" t="n"/>
      <c r="D373" s="26" t="n"/>
      <c r="E373" s="26" t="n"/>
      <c r="F373" s="26" t="n"/>
      <c r="G373" s="35" t="n"/>
      <c r="H373" s="26" t="n"/>
      <c r="I373" s="34" t="n"/>
      <c r="J373" s="35">
        <f>IF($G378="","",$G378*0.15)</f>
        <v/>
      </c>
      <c r="K373" s="35" t="n"/>
      <c r="L373" s="26" t="n"/>
      <c r="M373" s="36">
        <f>IF($A378="","",IF(OR($H378="delivered",$H378="invoiced",$H378="paid"),1,0))</f>
        <v/>
      </c>
      <c r="N373" s="35">
        <f>IF($A378="","",IF(AND($M378=1,$J378&lt;&gt;""),$J378-IF($K378="",0,$K378),""))</f>
        <v/>
      </c>
    </row>
    <row r="374" ht="15" customHeight="1" s="27">
      <c r="A374" s="34" t="n"/>
      <c r="B374" s="26" t="n"/>
      <c r="C374" s="26" t="n"/>
      <c r="D374" s="26" t="n"/>
      <c r="E374" s="26" t="n"/>
      <c r="F374" s="26" t="n"/>
      <c r="G374" s="35" t="n"/>
      <c r="H374" s="26" t="n"/>
      <c r="I374" s="34" t="n"/>
      <c r="J374" s="35">
        <f>IF($G379="","",$G379*0.15)</f>
        <v/>
      </c>
      <c r="K374" s="35" t="n"/>
      <c r="L374" s="26" t="n"/>
      <c r="M374" s="36">
        <f>IF($A379="","",IF(OR($H379="delivered",$H379="invoiced",$H379="paid"),1,0))</f>
        <v/>
      </c>
      <c r="N374" s="35">
        <f>IF($A379="","",IF(AND($M379=1,$J379&lt;&gt;""),$J379-IF($K379="",0,$K379),""))</f>
        <v/>
      </c>
    </row>
    <row r="375" ht="15" customHeight="1" s="27">
      <c r="A375" s="34" t="n"/>
      <c r="B375" s="26" t="n"/>
      <c r="C375" s="26" t="n"/>
      <c r="D375" s="26" t="n"/>
      <c r="E375" s="26" t="n"/>
      <c r="F375" s="26" t="n"/>
      <c r="G375" s="35" t="n"/>
      <c r="H375" s="26" t="n"/>
      <c r="I375" s="34" t="n"/>
      <c r="J375" s="35">
        <f>IF($G380="","",$G380*0.15)</f>
        <v/>
      </c>
      <c r="K375" s="35" t="n"/>
      <c r="L375" s="26" t="n"/>
      <c r="M375" s="36">
        <f>IF($A380="","",IF(OR($H380="delivered",$H380="invoiced",$H380="paid"),1,0))</f>
        <v/>
      </c>
      <c r="N375" s="35">
        <f>IF($A380="","",IF(AND($M380=1,$J380&lt;&gt;""),$J380-IF($K380="",0,$K380),""))</f>
        <v/>
      </c>
    </row>
    <row r="376" ht="15" customHeight="1" s="27">
      <c r="A376" s="34" t="n"/>
      <c r="B376" s="26" t="n"/>
      <c r="C376" s="26" t="n"/>
      <c r="D376" s="26" t="n"/>
      <c r="E376" s="26" t="n"/>
      <c r="F376" s="26" t="n"/>
      <c r="G376" s="35" t="n"/>
      <c r="H376" s="26" t="n"/>
      <c r="I376" s="34" t="n"/>
      <c r="J376" s="35">
        <f>IF($G381="","",$G381*0.15)</f>
        <v/>
      </c>
      <c r="K376" s="35" t="n"/>
      <c r="L376" s="26" t="n"/>
      <c r="M376" s="36">
        <f>IF($A381="","",IF(OR($H381="delivered",$H381="invoiced",$H381="paid"),1,0))</f>
        <v/>
      </c>
      <c r="N376" s="35">
        <f>IF($A381="","",IF(AND($M381=1,$J381&lt;&gt;""),$J381-IF($K381="",0,$K381),""))</f>
        <v/>
      </c>
    </row>
    <row r="377" ht="15" customHeight="1" s="27">
      <c r="A377" s="34" t="n"/>
      <c r="B377" s="26" t="n"/>
      <c r="C377" s="26" t="n"/>
      <c r="D377" s="26" t="n"/>
      <c r="E377" s="26" t="n"/>
      <c r="F377" s="26" t="n"/>
      <c r="G377" s="35" t="n"/>
      <c r="H377" s="26" t="n"/>
      <c r="I377" s="34" t="n"/>
      <c r="J377" s="35">
        <f>IF($G382="","",$G382*0.15)</f>
        <v/>
      </c>
      <c r="K377" s="35" t="n"/>
      <c r="L377" s="26" t="n"/>
      <c r="M377" s="36">
        <f>IF($A382="","",IF(OR($H382="delivered",$H382="invoiced",$H382="paid"),1,0))</f>
        <v/>
      </c>
      <c r="N377" s="35">
        <f>IF($A382="","",IF(AND($M382=1,$J382&lt;&gt;""),$J382-IF($K382="",0,$K382),""))</f>
        <v/>
      </c>
    </row>
    <row r="378" ht="15" customHeight="1" s="27">
      <c r="A378" s="34" t="n"/>
      <c r="B378" s="26" t="n"/>
      <c r="C378" s="26" t="n"/>
      <c r="D378" s="26" t="n"/>
      <c r="E378" s="26" t="n"/>
      <c r="F378" s="26" t="n"/>
      <c r="G378" s="35" t="n"/>
      <c r="H378" s="26" t="n"/>
      <c r="I378" s="34" t="n"/>
      <c r="J378" s="35">
        <f>IF($G383="","",$G383*0.15)</f>
        <v/>
      </c>
      <c r="K378" s="35" t="n"/>
      <c r="L378" s="26" t="n"/>
      <c r="M378" s="36">
        <f>IF($A383="","",IF(OR($H383="delivered",$H383="invoiced",$H383="paid"),1,0))</f>
        <v/>
      </c>
      <c r="N378" s="35">
        <f>IF($A383="","",IF(AND($M383=1,$J383&lt;&gt;""),$J383-IF($K383="",0,$K383),""))</f>
        <v/>
      </c>
    </row>
    <row r="379" ht="15" customHeight="1" s="27">
      <c r="A379" s="34" t="n"/>
      <c r="B379" s="26" t="n"/>
      <c r="C379" s="26" t="n"/>
      <c r="D379" s="26" t="n"/>
      <c r="E379" s="26" t="n"/>
      <c r="F379" s="26" t="n"/>
      <c r="G379" s="35" t="n"/>
      <c r="H379" s="26" t="n"/>
      <c r="I379" s="34" t="n"/>
      <c r="J379" s="35">
        <f>IF($G384="","",$G384*0.15)</f>
        <v/>
      </c>
      <c r="K379" s="35" t="n"/>
      <c r="L379" s="26" t="n"/>
      <c r="M379" s="36">
        <f>IF($A384="","",IF(OR($H384="delivered",$H384="invoiced",$H384="paid"),1,0))</f>
        <v/>
      </c>
      <c r="N379" s="35">
        <f>IF($A384="","",IF(AND($M384=1,$J384&lt;&gt;""),$J384-IF($K384="",0,$K384),""))</f>
        <v/>
      </c>
    </row>
    <row r="380" ht="15" customHeight="1" s="27">
      <c r="A380" s="34" t="n"/>
      <c r="B380" s="26" t="n"/>
      <c r="C380" s="26" t="n"/>
      <c r="D380" s="26" t="n"/>
      <c r="E380" s="26" t="n"/>
      <c r="F380" s="26" t="n"/>
      <c r="G380" s="35" t="n"/>
      <c r="H380" s="26" t="n"/>
      <c r="I380" s="34" t="n"/>
      <c r="J380" s="35">
        <f>IF($G385="","",$G385*0.15)</f>
        <v/>
      </c>
      <c r="K380" s="35" t="n"/>
      <c r="L380" s="26" t="n"/>
      <c r="M380" s="36">
        <f>IF($A385="","",IF(OR($H385="delivered",$H385="invoiced",$H385="paid"),1,0))</f>
        <v/>
      </c>
      <c r="N380" s="35">
        <f>IF($A385="","",IF(AND($M385=1,$J385&lt;&gt;""),$J385-IF($K385="",0,$K385),""))</f>
        <v/>
      </c>
    </row>
    <row r="381" ht="15" customHeight="1" s="27">
      <c r="A381" s="34" t="n"/>
      <c r="B381" s="26" t="n"/>
      <c r="C381" s="26" t="n"/>
      <c r="D381" s="26" t="n"/>
      <c r="E381" s="26" t="n"/>
      <c r="F381" s="26" t="n"/>
      <c r="G381" s="35" t="n"/>
      <c r="H381" s="26" t="n"/>
      <c r="I381" s="34" t="n"/>
      <c r="J381" s="35">
        <f>IF($G386="","",$G386*0.15)</f>
        <v/>
      </c>
      <c r="K381" s="35" t="n"/>
      <c r="L381" s="26" t="n"/>
      <c r="M381" s="36">
        <f>IF($A386="","",IF(OR($H386="delivered",$H386="invoiced",$H386="paid"),1,0))</f>
        <v/>
      </c>
      <c r="N381" s="35">
        <f>IF($A386="","",IF(AND($M386=1,$J386&lt;&gt;""),$J386-IF($K386="",0,$K386),""))</f>
        <v/>
      </c>
    </row>
    <row r="382" ht="15" customHeight="1" s="27">
      <c r="A382" s="34" t="n"/>
      <c r="B382" s="26" t="n"/>
      <c r="C382" s="26" t="n"/>
      <c r="D382" s="26" t="n"/>
      <c r="E382" s="26" t="n"/>
      <c r="F382" s="26" t="n"/>
      <c r="G382" s="35" t="n"/>
      <c r="H382" s="26" t="n"/>
      <c r="I382" s="34" t="n"/>
      <c r="J382" s="35">
        <f>IF($G387="","",$G387*0.15)</f>
        <v/>
      </c>
      <c r="K382" s="35" t="n"/>
      <c r="L382" s="26" t="n"/>
      <c r="M382" s="36">
        <f>IF($A387="","",IF(OR($H387="delivered",$H387="invoiced",$H387="paid"),1,0))</f>
        <v/>
      </c>
      <c r="N382" s="35">
        <f>IF($A387="","",IF(AND($M387=1,$J387&lt;&gt;""),$J387-IF($K387="",0,$K387),""))</f>
        <v/>
      </c>
    </row>
    <row r="383" ht="15" customHeight="1" s="27">
      <c r="A383" s="34" t="n"/>
      <c r="B383" s="26" t="n"/>
      <c r="C383" s="26" t="n"/>
      <c r="D383" s="26" t="n"/>
      <c r="E383" s="26" t="n"/>
      <c r="F383" s="26" t="n"/>
      <c r="G383" s="35" t="n"/>
      <c r="H383" s="26" t="n"/>
      <c r="I383" s="34" t="n"/>
      <c r="J383" s="35">
        <f>IF($G388="","",$G388*0.15)</f>
        <v/>
      </c>
      <c r="K383" s="35" t="n"/>
      <c r="L383" s="26" t="n"/>
      <c r="M383" s="36">
        <f>IF($A388="","",IF(OR($H388="delivered",$H388="invoiced",$H388="paid"),1,0))</f>
        <v/>
      </c>
      <c r="N383" s="35">
        <f>IF($A388="","",IF(AND($M388=1,$J388&lt;&gt;""),$J388-IF($K388="",0,$K388),""))</f>
        <v/>
      </c>
    </row>
    <row r="384" ht="15" customHeight="1" s="27">
      <c r="A384" s="34" t="n"/>
      <c r="B384" s="26" t="n"/>
      <c r="C384" s="26" t="n"/>
      <c r="D384" s="26" t="n"/>
      <c r="E384" s="26" t="n"/>
      <c r="F384" s="26" t="n"/>
      <c r="G384" s="35" t="n"/>
      <c r="H384" s="26" t="n"/>
      <c r="I384" s="34" t="n"/>
      <c r="J384" s="35">
        <f>IF($G389="","",$G389*0.15)</f>
        <v/>
      </c>
      <c r="K384" s="35" t="n"/>
      <c r="L384" s="26" t="n"/>
      <c r="M384" s="36">
        <f>IF($A389="","",IF(OR($H389="delivered",$H389="invoiced",$H389="paid"),1,0))</f>
        <v/>
      </c>
      <c r="N384" s="35">
        <f>IF($A389="","",IF(AND($M389=1,$J389&lt;&gt;""),$J389-IF($K389="",0,$K389),""))</f>
        <v/>
      </c>
    </row>
    <row r="385" ht="15" customHeight="1" s="27">
      <c r="A385" s="34" t="n"/>
      <c r="B385" s="26" t="n"/>
      <c r="C385" s="26" t="n"/>
      <c r="D385" s="26" t="n"/>
      <c r="E385" s="26" t="n"/>
      <c r="F385" s="26" t="n"/>
      <c r="G385" s="35" t="n"/>
      <c r="H385" s="26" t="n"/>
      <c r="I385" s="34" t="n"/>
      <c r="J385" s="35">
        <f>IF($G390="","",$G390*0.15)</f>
        <v/>
      </c>
      <c r="K385" s="35" t="n"/>
      <c r="L385" s="26" t="n"/>
      <c r="M385" s="36">
        <f>IF($A390="","",IF(OR($H390="delivered",$H390="invoiced",$H390="paid"),1,0))</f>
        <v/>
      </c>
      <c r="N385" s="35">
        <f>IF($A390="","",IF(AND($M390=1,$J390&lt;&gt;""),$J390-IF($K390="",0,$K390),""))</f>
        <v/>
      </c>
    </row>
    <row r="386" ht="15" customHeight="1" s="27">
      <c r="A386" s="34" t="n"/>
      <c r="B386" s="26" t="n"/>
      <c r="C386" s="26" t="n"/>
      <c r="D386" s="26" t="n"/>
      <c r="E386" s="26" t="n"/>
      <c r="F386" s="26" t="n"/>
      <c r="G386" s="35" t="n"/>
      <c r="H386" s="26" t="n"/>
      <c r="I386" s="34" t="n"/>
      <c r="J386" s="35">
        <f>IF($G391="","",$G391*0.15)</f>
        <v/>
      </c>
      <c r="K386" s="35" t="n"/>
      <c r="L386" s="26" t="n"/>
      <c r="M386" s="36">
        <f>IF($A391="","",IF(OR($H391="delivered",$H391="invoiced",$H391="paid"),1,0))</f>
        <v/>
      </c>
      <c r="N386" s="35">
        <f>IF($A391="","",IF(AND($M391=1,$J391&lt;&gt;""),$J391-IF($K391="",0,$K391),""))</f>
        <v/>
      </c>
    </row>
    <row r="387" ht="15" customHeight="1" s="27">
      <c r="A387" s="34" t="n"/>
      <c r="B387" s="26" t="n"/>
      <c r="C387" s="26" t="n"/>
      <c r="D387" s="26" t="n"/>
      <c r="E387" s="26" t="n"/>
      <c r="F387" s="26" t="n"/>
      <c r="G387" s="35" t="n"/>
      <c r="H387" s="26" t="n"/>
      <c r="I387" s="34" t="n"/>
      <c r="J387" s="35">
        <f>IF($G392="","",$G392*0.15)</f>
        <v/>
      </c>
      <c r="K387" s="35" t="n"/>
      <c r="L387" s="26" t="n"/>
      <c r="M387" s="36">
        <f>IF($A392="","",IF(OR($H392="delivered",$H392="invoiced",$H392="paid"),1,0))</f>
        <v/>
      </c>
      <c r="N387" s="35">
        <f>IF($A392="","",IF(AND($M392=1,$J392&lt;&gt;""),$J392-IF($K392="",0,$K392),""))</f>
        <v/>
      </c>
    </row>
    <row r="388" ht="15" customHeight="1" s="27">
      <c r="A388" s="34" t="n"/>
      <c r="B388" s="26" t="n"/>
      <c r="C388" s="26" t="n"/>
      <c r="D388" s="26" t="n"/>
      <c r="E388" s="26" t="n"/>
      <c r="F388" s="26" t="n"/>
      <c r="G388" s="35" t="n"/>
      <c r="H388" s="26" t="n"/>
      <c r="I388" s="34" t="n"/>
      <c r="J388" s="35">
        <f>IF($G393="","",$G393*0.15)</f>
        <v/>
      </c>
      <c r="K388" s="35" t="n"/>
      <c r="L388" s="26" t="n"/>
      <c r="M388" s="36">
        <f>IF($A393="","",IF(OR($H393="delivered",$H393="invoiced",$H393="paid"),1,0))</f>
        <v/>
      </c>
      <c r="N388" s="35">
        <f>IF($A393="","",IF(AND($M393=1,$J393&lt;&gt;""),$J393-IF($K393="",0,$K393),""))</f>
        <v/>
      </c>
    </row>
    <row r="389" ht="15" customHeight="1" s="27">
      <c r="A389" s="34" t="n"/>
      <c r="B389" s="26" t="n"/>
      <c r="C389" s="26" t="n"/>
      <c r="D389" s="26" t="n"/>
      <c r="E389" s="26" t="n"/>
      <c r="F389" s="26" t="n"/>
      <c r="G389" s="35" t="n"/>
      <c r="H389" s="26" t="n"/>
      <c r="I389" s="34" t="n"/>
      <c r="J389" s="35">
        <f>IF($G394="","",$G394*0.15)</f>
        <v/>
      </c>
      <c r="K389" s="35" t="n"/>
      <c r="L389" s="26" t="n"/>
      <c r="M389" s="36">
        <f>IF($A394="","",IF(OR($H394="delivered",$H394="invoiced",$H394="paid"),1,0))</f>
        <v/>
      </c>
      <c r="N389" s="35">
        <f>IF($A394="","",IF(AND($M394=1,$J394&lt;&gt;""),$J394-IF($K394="",0,$K394),""))</f>
        <v/>
      </c>
    </row>
    <row r="390" ht="15" customHeight="1" s="27">
      <c r="A390" s="34" t="n"/>
      <c r="B390" s="26" t="n"/>
      <c r="C390" s="26" t="n"/>
      <c r="D390" s="26" t="n"/>
      <c r="E390" s="26" t="n"/>
      <c r="F390" s="26" t="n"/>
      <c r="G390" s="35" t="n"/>
      <c r="H390" s="26" t="n"/>
      <c r="I390" s="34" t="n"/>
      <c r="J390" s="35">
        <f>IF($G395="","",$G395*0.15)</f>
        <v/>
      </c>
      <c r="K390" s="35" t="n"/>
      <c r="L390" s="26" t="n"/>
      <c r="M390" s="36">
        <f>IF($A395="","",IF(OR($H395="delivered",$H395="invoiced",$H395="paid"),1,0))</f>
        <v/>
      </c>
      <c r="N390" s="35">
        <f>IF($A395="","",IF(AND($M395=1,$J395&lt;&gt;""),$J395-IF($K395="",0,$K395),""))</f>
        <v/>
      </c>
    </row>
    <row r="391" ht="15" customHeight="1" s="27">
      <c r="A391" s="34" t="n"/>
      <c r="B391" s="26" t="n"/>
      <c r="C391" s="26" t="n"/>
      <c r="D391" s="26" t="n"/>
      <c r="E391" s="26" t="n"/>
      <c r="F391" s="26" t="n"/>
      <c r="G391" s="35" t="n"/>
      <c r="H391" s="26" t="n"/>
      <c r="I391" s="34" t="n"/>
      <c r="J391" s="35">
        <f>IF($G396="","",$G396*0.15)</f>
        <v/>
      </c>
      <c r="K391" s="35" t="n"/>
      <c r="L391" s="26" t="n"/>
      <c r="M391" s="36">
        <f>IF($A396="","",IF(OR($H396="delivered",$H396="invoiced",$H396="paid"),1,0))</f>
        <v/>
      </c>
      <c r="N391" s="35">
        <f>IF($A396="","",IF(AND($M396=1,$J396&lt;&gt;""),$J396-IF($K396="",0,$K396),""))</f>
        <v/>
      </c>
    </row>
    <row r="392" ht="15" customHeight="1" s="27">
      <c r="A392" s="34" t="n"/>
      <c r="B392" s="26" t="n"/>
      <c r="C392" s="26" t="n"/>
      <c r="D392" s="26" t="n"/>
      <c r="E392" s="26" t="n"/>
      <c r="F392" s="26" t="n"/>
      <c r="G392" s="35" t="n"/>
      <c r="H392" s="26" t="n"/>
      <c r="I392" s="34" t="n"/>
      <c r="J392" s="35">
        <f>IF($G397="","",$G397*0.15)</f>
        <v/>
      </c>
      <c r="K392" s="35" t="n"/>
      <c r="L392" s="26" t="n"/>
      <c r="M392" s="36">
        <f>IF($A397="","",IF(OR($H397="delivered",$H397="invoiced",$H397="paid"),1,0))</f>
        <v/>
      </c>
      <c r="N392" s="35">
        <f>IF($A397="","",IF(AND($M397=1,$J397&lt;&gt;""),$J397-IF($K397="",0,$K397),""))</f>
        <v/>
      </c>
    </row>
    <row r="393" ht="15" customHeight="1" s="27">
      <c r="A393" s="34" t="n"/>
      <c r="B393" s="26" t="n"/>
      <c r="C393" s="26" t="n"/>
      <c r="D393" s="26" t="n"/>
      <c r="E393" s="26" t="n"/>
      <c r="F393" s="26" t="n"/>
      <c r="G393" s="35" t="n"/>
      <c r="H393" s="26" t="n"/>
      <c r="I393" s="34" t="n"/>
      <c r="J393" s="35">
        <f>IF($G398="","",$G398*0.15)</f>
        <v/>
      </c>
      <c r="K393" s="35" t="n"/>
      <c r="L393" s="26" t="n"/>
      <c r="M393" s="36">
        <f>IF($A398="","",IF(OR($H398="delivered",$H398="invoiced",$H398="paid"),1,0))</f>
        <v/>
      </c>
      <c r="N393" s="35">
        <f>IF($A398="","",IF(AND($M398=1,$J398&lt;&gt;""),$J398-IF($K398="",0,$K398),""))</f>
        <v/>
      </c>
    </row>
    <row r="394" ht="15" customHeight="1" s="27">
      <c r="A394" s="34" t="n"/>
      <c r="B394" s="26" t="n"/>
      <c r="C394" s="26" t="n"/>
      <c r="D394" s="26" t="n"/>
      <c r="E394" s="26" t="n"/>
      <c r="F394" s="26" t="n"/>
      <c r="G394" s="35" t="n"/>
      <c r="H394" s="26" t="n"/>
      <c r="I394" s="34" t="n"/>
      <c r="J394" s="35">
        <f>IF($G399="","",$G399*0.15)</f>
        <v/>
      </c>
      <c r="K394" s="35" t="n"/>
      <c r="L394" s="26" t="n"/>
      <c r="M394" s="36">
        <f>IF($A399="","",IF(OR($H399="delivered",$H399="invoiced",$H399="paid"),1,0))</f>
        <v/>
      </c>
      <c r="N394" s="35">
        <f>IF($A399="","",IF(AND($M399=1,$J399&lt;&gt;""),$J399-IF($K399="",0,$K399),""))</f>
        <v/>
      </c>
    </row>
    <row r="395" ht="15" customHeight="1" s="27">
      <c r="A395" s="34" t="n"/>
      <c r="B395" s="26" t="n"/>
      <c r="C395" s="26" t="n"/>
      <c r="D395" s="26" t="n"/>
      <c r="E395" s="26" t="n"/>
      <c r="F395" s="26" t="n"/>
      <c r="G395" s="35" t="n"/>
      <c r="H395" s="26" t="n"/>
      <c r="I395" s="34" t="n"/>
      <c r="J395" s="35">
        <f>IF($G400="","",$G400*0.15)</f>
        <v/>
      </c>
      <c r="K395" s="35" t="n"/>
      <c r="L395" s="26" t="n"/>
      <c r="M395" s="36">
        <f>IF($A400="","",IF(OR($H400="delivered",$H400="invoiced",$H400="paid"),1,0))</f>
        <v/>
      </c>
      <c r="N395" s="35">
        <f>IF($A400="","",IF(AND($M400=1,$J400&lt;&gt;""),$J400-IF($K400="",0,$K400),""))</f>
        <v/>
      </c>
    </row>
    <row r="396" ht="15" customHeight="1" s="27">
      <c r="A396" s="34" t="n"/>
      <c r="B396" s="26" t="n"/>
      <c r="C396" s="26" t="n"/>
      <c r="D396" s="26" t="n"/>
      <c r="E396" s="26" t="n"/>
      <c r="F396" s="26" t="n"/>
      <c r="G396" s="35" t="n"/>
      <c r="H396" s="26" t="n"/>
      <c r="I396" s="34" t="n"/>
      <c r="J396" s="35">
        <f>IF($G401="","",$G401*0.15)</f>
        <v/>
      </c>
      <c r="K396" s="35" t="n"/>
      <c r="L396" s="26" t="n"/>
      <c r="M396" s="36">
        <f>IF($A401="","",IF(OR($H401="delivered",$H401="invoiced",$H401="paid"),1,0))</f>
        <v/>
      </c>
      <c r="N396" s="35">
        <f>IF($A401="","",IF(AND($M401=1,$J401&lt;&gt;""),$J401-IF($K401="",0,$K401),""))</f>
        <v/>
      </c>
    </row>
    <row r="397" ht="15" customHeight="1" s="27">
      <c r="A397" s="34" t="n"/>
      <c r="B397" s="26" t="n"/>
      <c r="C397" s="26" t="n"/>
      <c r="D397" s="26" t="n"/>
      <c r="E397" s="26" t="n"/>
      <c r="F397" s="26" t="n"/>
      <c r="G397" s="35" t="n"/>
      <c r="H397" s="26" t="n"/>
      <c r="I397" s="34" t="n"/>
      <c r="J397" s="35">
        <f>IF($G402="","",$G402*0.15)</f>
        <v/>
      </c>
      <c r="K397" s="35" t="n"/>
      <c r="L397" s="26" t="n"/>
      <c r="M397" s="36">
        <f>IF($A402="","",IF(OR($H402="delivered",$H402="invoiced",$H402="paid"),1,0))</f>
        <v/>
      </c>
      <c r="N397" s="35">
        <f>IF($A402="","",IF(AND($M402=1,$J402&lt;&gt;""),$J402-IF($K402="",0,$K402),""))</f>
        <v/>
      </c>
    </row>
    <row r="398" ht="15" customHeight="1" s="27">
      <c r="A398" s="34" t="n"/>
      <c r="B398" s="26" t="n"/>
      <c r="C398" s="26" t="n"/>
      <c r="D398" s="26" t="n"/>
      <c r="E398" s="26" t="n"/>
      <c r="F398" s="26" t="n"/>
      <c r="G398" s="35" t="n"/>
      <c r="H398" s="26" t="n"/>
      <c r="I398" s="34" t="n"/>
      <c r="J398" s="35">
        <f>IF($G403="","",$G403*0.15)</f>
        <v/>
      </c>
      <c r="K398" s="35" t="n"/>
      <c r="L398" s="26" t="n"/>
      <c r="M398" s="36">
        <f>IF($A403="","",IF(OR($H403="delivered",$H403="invoiced",$H403="paid"),1,0))</f>
        <v/>
      </c>
      <c r="N398" s="35">
        <f>IF($A403="","",IF(AND($M403=1,$J403&lt;&gt;""),$J403-IF($K403="",0,$K403),""))</f>
        <v/>
      </c>
    </row>
    <row r="399" ht="15" customHeight="1" s="27">
      <c r="A399" s="34" t="n"/>
      <c r="B399" s="26" t="n"/>
      <c r="C399" s="26" t="n"/>
      <c r="D399" s="26" t="n"/>
      <c r="E399" s="26" t="n"/>
      <c r="F399" s="26" t="n"/>
      <c r="G399" s="35" t="n"/>
      <c r="H399" s="26" t="n"/>
      <c r="I399" s="34" t="n"/>
      <c r="J399" s="35">
        <f>IF($G404="","",$G404*0.15)</f>
        <v/>
      </c>
      <c r="K399" s="35" t="n"/>
      <c r="L399" s="26" t="n"/>
      <c r="M399" s="36">
        <f>IF($A404="","",IF(OR($H404="delivered",$H404="invoiced",$H404="paid"),1,0))</f>
        <v/>
      </c>
      <c r="N399" s="35">
        <f>IF($A404="","",IF(AND($M404=1,$J404&lt;&gt;""),$J404-IF($K404="",0,$K404),""))</f>
        <v/>
      </c>
    </row>
    <row r="400" ht="15" customHeight="1" s="27">
      <c r="A400" s="34" t="n"/>
      <c r="B400" s="26" t="n"/>
      <c r="C400" s="26" t="n"/>
      <c r="D400" s="26" t="n"/>
      <c r="E400" s="26" t="n"/>
      <c r="F400" s="26" t="n"/>
      <c r="G400" s="35" t="n"/>
      <c r="H400" s="26" t="n"/>
      <c r="I400" s="34" t="n"/>
      <c r="J400" s="35">
        <f>IF($G405="","",$G405*0.15)</f>
        <v/>
      </c>
      <c r="K400" s="35" t="n"/>
      <c r="L400" s="26" t="n"/>
      <c r="M400" s="36">
        <f>IF($A405="","",IF(OR($H405="delivered",$H405="invoiced",$H405="paid"),1,0))</f>
        <v/>
      </c>
      <c r="N400" s="35">
        <f>IF($A405="","",IF(AND($M405=1,$J405&lt;&gt;""),$J405-IF($K405="",0,$K405),""))</f>
        <v/>
      </c>
    </row>
    <row r="401" ht="15" customHeight="1" s="27">
      <c r="A401" s="34" t="n"/>
      <c r="B401" s="26" t="n"/>
      <c r="C401" s="26" t="n"/>
      <c r="D401" s="26" t="n"/>
      <c r="E401" s="26" t="n"/>
      <c r="F401" s="26" t="n"/>
      <c r="G401" s="35" t="n"/>
      <c r="H401" s="26" t="n"/>
      <c r="I401" s="34" t="n"/>
      <c r="J401" s="35">
        <f>IF($G406="","",$G406*0.15)</f>
        <v/>
      </c>
      <c r="K401" s="35" t="n"/>
      <c r="L401" s="26" t="n"/>
      <c r="M401" s="36">
        <f>IF($A406="","",IF(OR($H406="delivered",$H406="invoiced",$H406="paid"),1,0))</f>
        <v/>
      </c>
      <c r="N401" s="35">
        <f>IF($A406="","",IF(AND($M406=1,$J406&lt;&gt;""),$J406-IF($K406="",0,$K406),""))</f>
        <v/>
      </c>
    </row>
    <row r="402" ht="15" customHeight="1" s="27">
      <c r="A402" s="34" t="n"/>
      <c r="B402" s="26" t="n"/>
      <c r="C402" s="26" t="n"/>
      <c r="D402" s="26" t="n"/>
      <c r="E402" s="26" t="n"/>
      <c r="F402" s="26" t="n"/>
      <c r="G402" s="35" t="n"/>
      <c r="H402" s="26" t="n"/>
      <c r="I402" s="34" t="n"/>
      <c r="J402" s="35">
        <f>IF($G407="","",$G407*0.15)</f>
        <v/>
      </c>
      <c r="K402" s="35" t="n"/>
      <c r="L402" s="26" t="n"/>
      <c r="M402" s="36">
        <f>IF($A407="","",IF(OR($H407="delivered",$H407="invoiced",$H407="paid"),1,0))</f>
        <v/>
      </c>
      <c r="N402" s="35">
        <f>IF($A407="","",IF(AND($M407=1,$J407&lt;&gt;""),$J407-IF($K407="",0,$K407),""))</f>
        <v/>
      </c>
    </row>
    <row r="403" ht="15" customHeight="1" s="27">
      <c r="A403" s="34" t="n"/>
      <c r="B403" s="26" t="n"/>
      <c r="C403" s="26" t="n"/>
      <c r="D403" s="26" t="n"/>
      <c r="E403" s="26" t="n"/>
      <c r="F403" s="26" t="n"/>
      <c r="G403" s="35" t="n"/>
      <c r="H403" s="26" t="n"/>
      <c r="I403" s="34" t="n"/>
      <c r="J403" s="35">
        <f>IF($G408="","",$G408*0.15)</f>
        <v/>
      </c>
      <c r="K403" s="35" t="n"/>
      <c r="L403" s="26" t="n"/>
      <c r="M403" s="36">
        <f>IF($A408="","",IF(OR($H408="delivered",$H408="invoiced",$H408="paid"),1,0))</f>
        <v/>
      </c>
      <c r="N403" s="35">
        <f>IF($A408="","",IF(AND($M408=1,$J408&lt;&gt;""),$J408-IF($K408="",0,$K408),""))</f>
        <v/>
      </c>
    </row>
    <row r="404" ht="15" customHeight="1" s="27">
      <c r="A404" s="34" t="n"/>
      <c r="B404" s="26" t="n"/>
      <c r="C404" s="26" t="n"/>
      <c r="D404" s="26" t="n"/>
      <c r="E404" s="26" t="n"/>
      <c r="F404" s="26" t="n"/>
      <c r="G404" s="35" t="n"/>
      <c r="H404" s="26" t="n"/>
      <c r="I404" s="34" t="n"/>
      <c r="J404" s="35">
        <f>IF($G409="","",$G409*0.15)</f>
        <v/>
      </c>
      <c r="K404" s="35" t="n"/>
      <c r="L404" s="26" t="n"/>
      <c r="M404" s="36">
        <f>IF($A409="","",IF(OR($H409="delivered",$H409="invoiced",$H409="paid"),1,0))</f>
        <v/>
      </c>
      <c r="N404" s="35">
        <f>IF($A409="","",IF(AND($M409=1,$J409&lt;&gt;""),$J409-IF($K409="",0,$K409),""))</f>
        <v/>
      </c>
    </row>
    <row r="405" ht="15" customHeight="1" s="27">
      <c r="A405" s="34" t="n"/>
      <c r="B405" s="26" t="n"/>
      <c r="C405" s="26" t="n"/>
      <c r="D405" s="26" t="n"/>
      <c r="E405" s="26" t="n"/>
      <c r="F405" s="26" t="n"/>
      <c r="G405" s="35" t="n"/>
      <c r="H405" s="26" t="n"/>
      <c r="I405" s="34" t="n"/>
      <c r="J405" s="35">
        <f>IF($G410="","",$G410*0.15)</f>
        <v/>
      </c>
      <c r="K405" s="35" t="n"/>
      <c r="L405" s="26" t="n"/>
      <c r="M405" s="36">
        <f>IF($A410="","",IF(OR($H410="delivered",$H410="invoiced",$H410="paid"),1,0))</f>
        <v/>
      </c>
      <c r="N405" s="35">
        <f>IF($A410="","",IF(AND($M410=1,$J410&lt;&gt;""),$J410-IF($K410="",0,$K410),""))</f>
        <v/>
      </c>
    </row>
    <row r="406" ht="15" customHeight="1" s="27">
      <c r="A406" s="34" t="n"/>
      <c r="B406" s="26" t="n"/>
      <c r="C406" s="26" t="n"/>
      <c r="D406" s="26" t="n"/>
      <c r="E406" s="26" t="n"/>
      <c r="F406" s="26" t="n"/>
      <c r="G406" s="35" t="n"/>
      <c r="H406" s="26" t="n"/>
      <c r="I406" s="34" t="n"/>
      <c r="J406" s="35">
        <f>IF($G411="","",$G411*0.15)</f>
        <v/>
      </c>
      <c r="K406" s="35" t="n"/>
      <c r="L406" s="26" t="n"/>
      <c r="M406" s="36">
        <f>IF($A411="","",IF(OR($H411="delivered",$H411="invoiced",$H411="paid"),1,0))</f>
        <v/>
      </c>
      <c r="N406" s="35">
        <f>IF($A411="","",IF(AND($M411=1,$J411&lt;&gt;""),$J411-IF($K411="",0,$K411),""))</f>
        <v/>
      </c>
    </row>
    <row r="407" ht="15" customHeight="1" s="27">
      <c r="A407" s="34" t="n"/>
      <c r="B407" s="26" t="n"/>
      <c r="C407" s="26" t="n"/>
      <c r="D407" s="26" t="n"/>
      <c r="E407" s="26" t="n"/>
      <c r="F407" s="26" t="n"/>
      <c r="G407" s="35" t="n"/>
      <c r="H407" s="26" t="n"/>
      <c r="I407" s="34" t="n"/>
      <c r="J407" s="35">
        <f>IF($G412="","",$G412*0.15)</f>
        <v/>
      </c>
      <c r="K407" s="35" t="n"/>
      <c r="L407" s="26" t="n"/>
      <c r="M407" s="36">
        <f>IF($A412="","",IF(OR($H412="delivered",$H412="invoiced",$H412="paid"),1,0))</f>
        <v/>
      </c>
      <c r="N407" s="35">
        <f>IF($A412="","",IF(AND($M412=1,$J412&lt;&gt;""),$J412-IF($K412="",0,$K412),""))</f>
        <v/>
      </c>
    </row>
    <row r="408" ht="15" customHeight="1" s="27">
      <c r="A408" s="34" t="n"/>
      <c r="B408" s="26" t="n"/>
      <c r="C408" s="26" t="n"/>
      <c r="D408" s="26" t="n"/>
      <c r="E408" s="26" t="n"/>
      <c r="F408" s="26" t="n"/>
      <c r="G408" s="35" t="n"/>
      <c r="H408" s="26" t="n"/>
      <c r="I408" s="34" t="n"/>
      <c r="J408" s="35">
        <f>IF($G413="","",$G413*0.15)</f>
        <v/>
      </c>
      <c r="K408" s="35" t="n"/>
      <c r="L408" s="26" t="n"/>
      <c r="M408" s="36">
        <f>IF($A413="","",IF(OR($H413="delivered",$H413="invoiced",$H413="paid"),1,0))</f>
        <v/>
      </c>
      <c r="N408" s="35">
        <f>IF($A413="","",IF(AND($M413=1,$J413&lt;&gt;""),$J413-IF($K413="",0,$K413),""))</f>
        <v/>
      </c>
    </row>
    <row r="409" ht="15" customHeight="1" s="27">
      <c r="A409" s="34" t="n"/>
      <c r="B409" s="26" t="n"/>
      <c r="C409" s="26" t="n"/>
      <c r="D409" s="26" t="n"/>
      <c r="E409" s="26" t="n"/>
      <c r="F409" s="26" t="n"/>
      <c r="G409" s="35" t="n"/>
      <c r="H409" s="26" t="n"/>
      <c r="I409" s="34" t="n"/>
      <c r="J409" s="35">
        <f>IF($G414="","",$G414*0.15)</f>
        <v/>
      </c>
      <c r="K409" s="35" t="n"/>
      <c r="L409" s="26" t="n"/>
      <c r="M409" s="36">
        <f>IF($A414="","",IF(OR($H414="delivered",$H414="invoiced",$H414="paid"),1,0))</f>
        <v/>
      </c>
      <c r="N409" s="35">
        <f>IF($A414="","",IF(AND($M414=1,$J414&lt;&gt;""),$J414-IF($K414="",0,$K414),""))</f>
        <v/>
      </c>
    </row>
    <row r="410" ht="15" customHeight="1" s="27">
      <c r="A410" s="34" t="n"/>
      <c r="B410" s="26" t="n"/>
      <c r="C410" s="26" t="n"/>
      <c r="D410" s="26" t="n"/>
      <c r="E410" s="26" t="n"/>
      <c r="F410" s="26" t="n"/>
      <c r="G410" s="35" t="n"/>
      <c r="H410" s="26" t="n"/>
      <c r="I410" s="34" t="n"/>
      <c r="J410" s="35">
        <f>IF($G415="","",$G415*0.15)</f>
        <v/>
      </c>
      <c r="K410" s="35" t="n"/>
      <c r="L410" s="26" t="n"/>
      <c r="M410" s="36">
        <f>IF($A415="","",IF(OR($H415="delivered",$H415="invoiced",$H415="paid"),1,0))</f>
        <v/>
      </c>
      <c r="N410" s="35">
        <f>IF($A415="","",IF(AND($M415=1,$J415&lt;&gt;""),$J415-IF($K415="",0,$K415),""))</f>
        <v/>
      </c>
    </row>
    <row r="411" ht="15" customHeight="1" s="27">
      <c r="A411" s="34" t="n"/>
      <c r="B411" s="26" t="n"/>
      <c r="C411" s="26" t="n"/>
      <c r="D411" s="26" t="n"/>
      <c r="E411" s="26" t="n"/>
      <c r="F411" s="26" t="n"/>
      <c r="G411" s="35" t="n"/>
      <c r="H411" s="26" t="n"/>
      <c r="I411" s="34" t="n"/>
      <c r="J411" s="35">
        <f>IF($G416="","",$G416*0.15)</f>
        <v/>
      </c>
      <c r="K411" s="35" t="n"/>
      <c r="L411" s="26" t="n"/>
      <c r="M411" s="36">
        <f>IF($A416="","",IF(OR($H416="delivered",$H416="invoiced",$H416="paid"),1,0))</f>
        <v/>
      </c>
      <c r="N411" s="35">
        <f>IF($A416="","",IF(AND($M416=1,$J416&lt;&gt;""),$J416-IF($K416="",0,$K416),""))</f>
        <v/>
      </c>
    </row>
    <row r="412" ht="15" customHeight="1" s="27">
      <c r="A412" s="34" t="n"/>
      <c r="B412" s="26" t="n"/>
      <c r="C412" s="26" t="n"/>
      <c r="D412" s="26" t="n"/>
      <c r="E412" s="26" t="n"/>
      <c r="F412" s="26" t="n"/>
      <c r="G412" s="35" t="n"/>
      <c r="H412" s="26" t="n"/>
      <c r="I412" s="34" t="n"/>
      <c r="J412" s="35">
        <f>IF($G417="","",$G417*0.15)</f>
        <v/>
      </c>
      <c r="K412" s="35" t="n"/>
      <c r="L412" s="26" t="n"/>
      <c r="M412" s="36">
        <f>IF($A417="","",IF(OR($H417="delivered",$H417="invoiced",$H417="paid"),1,0))</f>
        <v/>
      </c>
      <c r="N412" s="35">
        <f>IF($A417="","",IF(AND($M417=1,$J417&lt;&gt;""),$J417-IF($K417="",0,$K417),""))</f>
        <v/>
      </c>
    </row>
    <row r="413" ht="15" customHeight="1" s="27">
      <c r="A413" s="34" t="n"/>
      <c r="B413" s="26" t="n"/>
      <c r="C413" s="26" t="n"/>
      <c r="D413" s="26" t="n"/>
      <c r="E413" s="26" t="n"/>
      <c r="F413" s="26" t="n"/>
      <c r="G413" s="35" t="n"/>
      <c r="H413" s="26" t="n"/>
      <c r="I413" s="34" t="n"/>
      <c r="J413" s="35">
        <f>IF($G418="","",$G418*0.15)</f>
        <v/>
      </c>
      <c r="K413" s="35" t="n"/>
      <c r="L413" s="26" t="n"/>
      <c r="M413" s="36">
        <f>IF($A418="","",IF(OR($H418="delivered",$H418="invoiced",$H418="paid"),1,0))</f>
        <v/>
      </c>
      <c r="N413" s="35">
        <f>IF($A418="","",IF(AND($M418=1,$J418&lt;&gt;""),$J418-IF($K418="",0,$K418),""))</f>
        <v/>
      </c>
    </row>
    <row r="414" ht="15" customHeight="1" s="27">
      <c r="A414" s="34" t="n"/>
      <c r="B414" s="26" t="n"/>
      <c r="C414" s="26" t="n"/>
      <c r="D414" s="26" t="n"/>
      <c r="E414" s="26" t="n"/>
      <c r="F414" s="26" t="n"/>
      <c r="G414" s="35" t="n"/>
      <c r="H414" s="26" t="n"/>
      <c r="I414" s="34" t="n"/>
      <c r="J414" s="35">
        <f>IF($G419="","",$G419*0.15)</f>
        <v/>
      </c>
      <c r="K414" s="35" t="n"/>
      <c r="L414" s="26" t="n"/>
      <c r="M414" s="36">
        <f>IF($A419="","",IF(OR($H419="delivered",$H419="invoiced",$H419="paid"),1,0))</f>
        <v/>
      </c>
      <c r="N414" s="35">
        <f>IF($A419="","",IF(AND($M419=1,$J419&lt;&gt;""),$J419-IF($K419="",0,$K419),""))</f>
        <v/>
      </c>
    </row>
    <row r="415" ht="15" customHeight="1" s="27">
      <c r="A415" s="34" t="n"/>
      <c r="B415" s="26" t="n"/>
      <c r="C415" s="26" t="n"/>
      <c r="D415" s="26" t="n"/>
      <c r="E415" s="26" t="n"/>
      <c r="F415" s="26" t="n"/>
      <c r="G415" s="35" t="n"/>
      <c r="H415" s="26" t="n"/>
      <c r="I415" s="34" t="n"/>
      <c r="J415" s="35">
        <f>IF($G420="","",$G420*0.15)</f>
        <v/>
      </c>
      <c r="K415" s="35" t="n"/>
      <c r="L415" s="26" t="n"/>
      <c r="M415" s="36">
        <f>IF($A420="","",IF(OR($H420="delivered",$H420="invoiced",$H420="paid"),1,0))</f>
        <v/>
      </c>
      <c r="N415" s="35">
        <f>IF($A420="","",IF(AND($M420=1,$J420&lt;&gt;""),$J420-IF($K420="",0,$K420),""))</f>
        <v/>
      </c>
    </row>
    <row r="416" ht="15" customHeight="1" s="27">
      <c r="A416" s="34" t="n"/>
      <c r="B416" s="26" t="n"/>
      <c r="C416" s="26" t="n"/>
      <c r="D416" s="26" t="n"/>
      <c r="E416" s="26" t="n"/>
      <c r="F416" s="26" t="n"/>
      <c r="G416" s="35" t="n"/>
      <c r="H416" s="26" t="n"/>
      <c r="I416" s="34" t="n"/>
      <c r="J416" s="35">
        <f>IF($G421="","",$G421*0.15)</f>
        <v/>
      </c>
      <c r="K416" s="35" t="n"/>
      <c r="L416" s="26" t="n"/>
      <c r="M416" s="36">
        <f>IF($A421="","",IF(OR($H421="delivered",$H421="invoiced",$H421="paid"),1,0))</f>
        <v/>
      </c>
      <c r="N416" s="35">
        <f>IF($A421="","",IF(AND($M421=1,$J421&lt;&gt;""),$J421-IF($K421="",0,$K421),""))</f>
        <v/>
      </c>
    </row>
    <row r="417" ht="15" customHeight="1" s="27">
      <c r="A417" s="34" t="n"/>
      <c r="B417" s="26" t="n"/>
      <c r="C417" s="26" t="n"/>
      <c r="D417" s="26" t="n"/>
      <c r="E417" s="26" t="n"/>
      <c r="F417" s="26" t="n"/>
      <c r="G417" s="35" t="n"/>
      <c r="H417" s="26" t="n"/>
      <c r="I417" s="34" t="n"/>
      <c r="J417" s="35">
        <f>IF($G422="","",$G422*0.15)</f>
        <v/>
      </c>
      <c r="K417" s="35" t="n"/>
      <c r="L417" s="26" t="n"/>
      <c r="M417" s="36">
        <f>IF($A422="","",IF(OR($H422="delivered",$H422="invoiced",$H422="paid"),1,0))</f>
        <v/>
      </c>
      <c r="N417" s="35">
        <f>IF($A422="","",IF(AND($M422=1,$J422&lt;&gt;""),$J422-IF($K422="",0,$K422),""))</f>
        <v/>
      </c>
    </row>
    <row r="418" ht="15" customHeight="1" s="27">
      <c r="A418" s="34" t="n"/>
      <c r="B418" s="26" t="n"/>
      <c r="C418" s="26" t="n"/>
      <c r="D418" s="26" t="n"/>
      <c r="E418" s="26" t="n"/>
      <c r="F418" s="26" t="n"/>
      <c r="G418" s="35" t="n"/>
      <c r="H418" s="26" t="n"/>
      <c r="I418" s="34" t="n"/>
      <c r="J418" s="35">
        <f>IF($G423="","",$G423*0.15)</f>
        <v/>
      </c>
      <c r="K418" s="35" t="n"/>
      <c r="L418" s="26" t="n"/>
      <c r="M418" s="36">
        <f>IF($A423="","",IF(OR($H423="delivered",$H423="invoiced",$H423="paid"),1,0))</f>
        <v/>
      </c>
      <c r="N418" s="35">
        <f>IF($A423="","",IF(AND($M423=1,$J423&lt;&gt;""),$J423-IF($K423="",0,$K423),""))</f>
        <v/>
      </c>
    </row>
    <row r="419" ht="15" customHeight="1" s="27">
      <c r="A419" s="34" t="n"/>
      <c r="B419" s="26" t="n"/>
      <c r="C419" s="26" t="n"/>
      <c r="D419" s="26" t="n"/>
      <c r="E419" s="26" t="n"/>
      <c r="F419" s="26" t="n"/>
      <c r="G419" s="35" t="n"/>
      <c r="H419" s="26" t="n"/>
      <c r="I419" s="34" t="n"/>
      <c r="J419" s="35">
        <f>IF($G424="","",$G424*0.15)</f>
        <v/>
      </c>
      <c r="K419" s="35" t="n"/>
      <c r="L419" s="26" t="n"/>
      <c r="M419" s="36">
        <f>IF($A424="","",IF(OR($H424="delivered",$H424="invoiced",$H424="paid"),1,0))</f>
        <v/>
      </c>
      <c r="N419" s="35">
        <f>IF($A424="","",IF(AND($M424=1,$J424&lt;&gt;""),$J424-IF($K424="",0,$K424),""))</f>
        <v/>
      </c>
    </row>
    <row r="420" ht="15" customHeight="1" s="27">
      <c r="A420" s="34" t="n"/>
      <c r="B420" s="26" t="n"/>
      <c r="C420" s="26" t="n"/>
      <c r="D420" s="26" t="n"/>
      <c r="E420" s="26" t="n"/>
      <c r="F420" s="26" t="n"/>
      <c r="G420" s="35" t="n"/>
      <c r="H420" s="26" t="n"/>
      <c r="I420" s="34" t="n"/>
      <c r="J420" s="35">
        <f>IF($G425="","",$G425*0.15)</f>
        <v/>
      </c>
      <c r="K420" s="35" t="n"/>
      <c r="L420" s="26" t="n"/>
      <c r="M420" s="36">
        <f>IF($A425="","",IF(OR($H425="delivered",$H425="invoiced",$H425="paid"),1,0))</f>
        <v/>
      </c>
      <c r="N420" s="35">
        <f>IF($A425="","",IF(AND($M425=1,$J425&lt;&gt;""),$J425-IF($K425="",0,$K425),""))</f>
        <v/>
      </c>
    </row>
    <row r="421" ht="15" customHeight="1" s="27">
      <c r="A421" s="34" t="n"/>
      <c r="B421" s="26" t="n"/>
      <c r="C421" s="26" t="n"/>
      <c r="D421" s="26" t="n"/>
      <c r="E421" s="26" t="n"/>
      <c r="F421" s="26" t="n"/>
      <c r="G421" s="35" t="n"/>
      <c r="H421" s="26" t="n"/>
      <c r="I421" s="34" t="n"/>
      <c r="J421" s="35">
        <f>IF($G426="","",$G426*0.15)</f>
        <v/>
      </c>
      <c r="K421" s="35" t="n"/>
      <c r="L421" s="26" t="n"/>
      <c r="M421" s="36">
        <f>IF($A426="","",IF(OR($H426="delivered",$H426="invoiced",$H426="paid"),1,0))</f>
        <v/>
      </c>
      <c r="N421" s="35">
        <f>IF($A426="","",IF(AND($M426=1,$J426&lt;&gt;""),$J426-IF($K426="",0,$K426),""))</f>
        <v/>
      </c>
    </row>
    <row r="422" ht="15" customHeight="1" s="27">
      <c r="A422" s="34" t="n"/>
      <c r="B422" s="26" t="n"/>
      <c r="C422" s="26" t="n"/>
      <c r="D422" s="26" t="n"/>
      <c r="E422" s="26" t="n"/>
      <c r="F422" s="26" t="n"/>
      <c r="G422" s="35" t="n"/>
      <c r="H422" s="26" t="n"/>
      <c r="I422" s="34" t="n"/>
      <c r="J422" s="35">
        <f>IF($G427="","",$G427*0.15)</f>
        <v/>
      </c>
      <c r="K422" s="35" t="n"/>
      <c r="L422" s="26" t="n"/>
      <c r="M422" s="36">
        <f>IF($A427="","",IF(OR($H427="delivered",$H427="invoiced",$H427="paid"),1,0))</f>
        <v/>
      </c>
      <c r="N422" s="35">
        <f>IF($A427="","",IF(AND($M427=1,$J427&lt;&gt;""),$J427-IF($K427="",0,$K427),""))</f>
        <v/>
      </c>
    </row>
    <row r="423" ht="15" customHeight="1" s="27">
      <c r="A423" s="34" t="n"/>
      <c r="B423" s="26" t="n"/>
      <c r="C423" s="26" t="n"/>
      <c r="D423" s="26" t="n"/>
      <c r="E423" s="26" t="n"/>
      <c r="F423" s="26" t="n"/>
      <c r="G423" s="35" t="n"/>
      <c r="H423" s="26" t="n"/>
      <c r="I423" s="34" t="n"/>
      <c r="J423" s="35">
        <f>IF($G428="","",$G428*0.15)</f>
        <v/>
      </c>
      <c r="K423" s="35" t="n"/>
      <c r="L423" s="26" t="n"/>
      <c r="M423" s="36">
        <f>IF($A428="","",IF(OR($H428="delivered",$H428="invoiced",$H428="paid"),1,0))</f>
        <v/>
      </c>
      <c r="N423" s="35">
        <f>IF($A428="","",IF(AND($M428=1,$J428&lt;&gt;""),$J428-IF($K428="",0,$K428),""))</f>
        <v/>
      </c>
    </row>
    <row r="424" ht="15" customHeight="1" s="27">
      <c r="A424" s="34" t="n"/>
      <c r="B424" s="26" t="n"/>
      <c r="C424" s="26" t="n"/>
      <c r="D424" s="26" t="n"/>
      <c r="E424" s="26" t="n"/>
      <c r="F424" s="26" t="n"/>
      <c r="G424" s="35" t="n"/>
      <c r="H424" s="26" t="n"/>
      <c r="I424" s="34" t="n"/>
      <c r="J424" s="35">
        <f>IF($G429="","",$G429*0.15)</f>
        <v/>
      </c>
      <c r="K424" s="35" t="n"/>
      <c r="L424" s="26" t="n"/>
      <c r="M424" s="36">
        <f>IF($A429="","",IF(OR($H429="delivered",$H429="invoiced",$H429="paid"),1,0))</f>
        <v/>
      </c>
      <c r="N424" s="35">
        <f>IF($A429="","",IF(AND($M429=1,$J429&lt;&gt;""),$J429-IF($K429="",0,$K429),""))</f>
        <v/>
      </c>
    </row>
    <row r="425" ht="15" customHeight="1" s="27">
      <c r="A425" s="34" t="n"/>
      <c r="B425" s="26" t="n"/>
      <c r="C425" s="26" t="n"/>
      <c r="D425" s="26" t="n"/>
      <c r="E425" s="26" t="n"/>
      <c r="F425" s="26" t="n"/>
      <c r="G425" s="35" t="n"/>
      <c r="H425" s="26" t="n"/>
      <c r="I425" s="34" t="n"/>
      <c r="J425" s="35">
        <f>IF($G430="","",$G430*0.15)</f>
        <v/>
      </c>
      <c r="K425" s="35" t="n"/>
      <c r="L425" s="26" t="n"/>
      <c r="M425" s="36">
        <f>IF($A430="","",IF(OR($H430="delivered",$H430="invoiced",$H430="paid"),1,0))</f>
        <v/>
      </c>
      <c r="N425" s="35">
        <f>IF($A430="","",IF(AND($M430=1,$J430&lt;&gt;""),$J430-IF($K430="",0,$K430),""))</f>
        <v/>
      </c>
    </row>
    <row r="426" ht="15" customHeight="1" s="27">
      <c r="A426" s="34" t="n"/>
      <c r="B426" s="26" t="n"/>
      <c r="C426" s="26" t="n"/>
      <c r="D426" s="26" t="n"/>
      <c r="E426" s="26" t="n"/>
      <c r="F426" s="26" t="n"/>
      <c r="G426" s="35" t="n"/>
      <c r="H426" s="26" t="n"/>
      <c r="I426" s="34" t="n"/>
      <c r="J426" s="35">
        <f>IF($G431="","",$G431*0.15)</f>
        <v/>
      </c>
      <c r="K426" s="35" t="n"/>
      <c r="L426" s="26" t="n"/>
      <c r="M426" s="36">
        <f>IF($A431="","",IF(OR($H431="delivered",$H431="invoiced",$H431="paid"),1,0))</f>
        <v/>
      </c>
      <c r="N426" s="35">
        <f>IF($A431="","",IF(AND($M431=1,$J431&lt;&gt;""),$J431-IF($K431="",0,$K431),""))</f>
        <v/>
      </c>
    </row>
    <row r="427" ht="15" customHeight="1" s="27">
      <c r="A427" s="34" t="n"/>
      <c r="B427" s="26" t="n"/>
      <c r="C427" s="26" t="n"/>
      <c r="D427" s="26" t="n"/>
      <c r="E427" s="26" t="n"/>
      <c r="F427" s="26" t="n"/>
      <c r="G427" s="35" t="n"/>
      <c r="H427" s="26" t="n"/>
      <c r="I427" s="34" t="n"/>
      <c r="J427" s="35">
        <f>IF($G432="","",$G432*0.15)</f>
        <v/>
      </c>
      <c r="K427" s="35" t="n"/>
      <c r="L427" s="26" t="n"/>
      <c r="M427" s="36">
        <f>IF($A432="","",IF(OR($H432="delivered",$H432="invoiced",$H432="paid"),1,0))</f>
        <v/>
      </c>
      <c r="N427" s="35">
        <f>IF($A432="","",IF(AND($M432=1,$J432&lt;&gt;""),$J432-IF($K432="",0,$K432),""))</f>
        <v/>
      </c>
    </row>
    <row r="428" ht="15" customHeight="1" s="27">
      <c r="A428" s="34" t="n"/>
      <c r="B428" s="26" t="n"/>
      <c r="C428" s="26" t="n"/>
      <c r="D428" s="26" t="n"/>
      <c r="E428" s="26" t="n"/>
      <c r="F428" s="26" t="n"/>
      <c r="G428" s="35" t="n"/>
      <c r="H428" s="26" t="n"/>
      <c r="I428" s="34" t="n"/>
      <c r="J428" s="35">
        <f>IF($G433="","",$G433*0.15)</f>
        <v/>
      </c>
      <c r="K428" s="35" t="n"/>
      <c r="L428" s="26" t="n"/>
      <c r="M428" s="36">
        <f>IF($A433="","",IF(OR($H433="delivered",$H433="invoiced",$H433="paid"),1,0))</f>
        <v/>
      </c>
      <c r="N428" s="35">
        <f>IF($A433="","",IF(AND($M433=1,$J433&lt;&gt;""),$J433-IF($K433="",0,$K433),""))</f>
        <v/>
      </c>
    </row>
    <row r="429" ht="15" customHeight="1" s="27">
      <c r="A429" s="34" t="n"/>
      <c r="B429" s="26" t="n"/>
      <c r="C429" s="26" t="n"/>
      <c r="D429" s="26" t="n"/>
      <c r="E429" s="26" t="n"/>
      <c r="F429" s="26" t="n"/>
      <c r="G429" s="35" t="n"/>
      <c r="H429" s="26" t="n"/>
      <c r="I429" s="34" t="n"/>
      <c r="J429" s="35">
        <f>IF($G434="","",$G434*0.15)</f>
        <v/>
      </c>
      <c r="K429" s="35" t="n"/>
      <c r="L429" s="26" t="n"/>
      <c r="M429" s="36">
        <f>IF($A434="","",IF(OR($H434="delivered",$H434="invoiced",$H434="paid"),1,0))</f>
        <v/>
      </c>
      <c r="N429" s="35">
        <f>IF($A434="","",IF(AND($M434=1,$J434&lt;&gt;""),$J434-IF($K434="",0,$K434),""))</f>
        <v/>
      </c>
    </row>
    <row r="430" ht="15" customHeight="1" s="27">
      <c r="A430" s="34" t="n"/>
      <c r="B430" s="26" t="n"/>
      <c r="C430" s="26" t="n"/>
      <c r="D430" s="26" t="n"/>
      <c r="E430" s="26" t="n"/>
      <c r="F430" s="26" t="n"/>
      <c r="G430" s="35" t="n"/>
      <c r="H430" s="26" t="n"/>
      <c r="I430" s="34" t="n"/>
      <c r="J430" s="35">
        <f>IF($G435="","",$G435*0.15)</f>
        <v/>
      </c>
      <c r="K430" s="35" t="n"/>
      <c r="L430" s="26" t="n"/>
      <c r="M430" s="36">
        <f>IF($A435="","",IF(OR($H435="delivered",$H435="invoiced",$H435="paid"),1,0))</f>
        <v/>
      </c>
      <c r="N430" s="35">
        <f>IF($A435="","",IF(AND($M435=1,$J435&lt;&gt;""),$J435-IF($K435="",0,$K435),""))</f>
        <v/>
      </c>
    </row>
    <row r="431" ht="15" customHeight="1" s="27">
      <c r="A431" s="34" t="n"/>
      <c r="B431" s="26" t="n"/>
      <c r="C431" s="26" t="n"/>
      <c r="D431" s="26" t="n"/>
      <c r="E431" s="26" t="n"/>
      <c r="F431" s="26" t="n"/>
      <c r="G431" s="35" t="n"/>
      <c r="H431" s="26" t="n"/>
      <c r="I431" s="34" t="n"/>
      <c r="J431" s="35">
        <f>IF($G436="","",$G436*0.15)</f>
        <v/>
      </c>
      <c r="K431" s="35" t="n"/>
      <c r="L431" s="26" t="n"/>
      <c r="M431" s="36">
        <f>IF($A436="","",IF(OR($H436="delivered",$H436="invoiced",$H436="paid"),1,0))</f>
        <v/>
      </c>
      <c r="N431" s="35">
        <f>IF($A436="","",IF(AND($M436=1,$J436&lt;&gt;""),$J436-IF($K436="",0,$K436),""))</f>
        <v/>
      </c>
    </row>
    <row r="432" ht="15" customHeight="1" s="27">
      <c r="A432" s="34" t="n"/>
      <c r="B432" s="26" t="n"/>
      <c r="C432" s="26" t="n"/>
      <c r="D432" s="26" t="n"/>
      <c r="E432" s="26" t="n"/>
      <c r="F432" s="26" t="n"/>
      <c r="G432" s="35" t="n"/>
      <c r="H432" s="26" t="n"/>
      <c r="I432" s="34" t="n"/>
      <c r="J432" s="35">
        <f>IF($G437="","",$G437*0.15)</f>
        <v/>
      </c>
      <c r="K432" s="35" t="n"/>
      <c r="L432" s="26" t="n"/>
      <c r="M432" s="36">
        <f>IF($A437="","",IF(OR($H437="delivered",$H437="invoiced",$H437="paid"),1,0))</f>
        <v/>
      </c>
      <c r="N432" s="35">
        <f>IF($A437="","",IF(AND($M437=1,$J437&lt;&gt;""),$J437-IF($K437="",0,$K437),""))</f>
        <v/>
      </c>
    </row>
    <row r="433" ht="15" customHeight="1" s="27">
      <c r="A433" s="34" t="n"/>
      <c r="B433" s="26" t="n"/>
      <c r="C433" s="26" t="n"/>
      <c r="D433" s="26" t="n"/>
      <c r="E433" s="26" t="n"/>
      <c r="F433" s="26" t="n"/>
      <c r="G433" s="35" t="n"/>
      <c r="H433" s="26" t="n"/>
      <c r="I433" s="34" t="n"/>
      <c r="J433" s="35">
        <f>IF($G438="","",$G438*0.15)</f>
        <v/>
      </c>
      <c r="K433" s="35" t="n"/>
      <c r="L433" s="26" t="n"/>
      <c r="M433" s="36">
        <f>IF($A438="","",IF(OR($H438="delivered",$H438="invoiced",$H438="paid"),1,0))</f>
        <v/>
      </c>
      <c r="N433" s="35">
        <f>IF($A438="","",IF(AND($M438=1,$J438&lt;&gt;""),$J438-IF($K438="",0,$K438),""))</f>
        <v/>
      </c>
    </row>
    <row r="434" ht="15" customHeight="1" s="27">
      <c r="A434" s="34" t="n"/>
      <c r="B434" s="26" t="n"/>
      <c r="C434" s="26" t="n"/>
      <c r="D434" s="26" t="n"/>
      <c r="E434" s="26" t="n"/>
      <c r="F434" s="26" t="n"/>
      <c r="G434" s="35" t="n"/>
      <c r="H434" s="26" t="n"/>
      <c r="I434" s="34" t="n"/>
      <c r="J434" s="35">
        <f>IF($G439="","",$G439*0.15)</f>
        <v/>
      </c>
      <c r="K434" s="35" t="n"/>
      <c r="L434" s="26" t="n"/>
      <c r="M434" s="36">
        <f>IF($A439="","",IF(OR($H439="delivered",$H439="invoiced",$H439="paid"),1,0))</f>
        <v/>
      </c>
      <c r="N434" s="35">
        <f>IF($A439="","",IF(AND($M439=1,$J439&lt;&gt;""),$J439-IF($K439="",0,$K439),""))</f>
        <v/>
      </c>
    </row>
    <row r="435" ht="15" customHeight="1" s="27">
      <c r="A435" s="34" t="n"/>
      <c r="B435" s="26" t="n"/>
      <c r="C435" s="26" t="n"/>
      <c r="D435" s="26" t="n"/>
      <c r="E435" s="26" t="n"/>
      <c r="F435" s="26" t="n"/>
      <c r="G435" s="35" t="n"/>
      <c r="H435" s="26" t="n"/>
      <c r="I435" s="34" t="n"/>
      <c r="J435" s="35">
        <f>IF($G440="","",$G440*0.15)</f>
        <v/>
      </c>
      <c r="K435" s="35" t="n"/>
      <c r="L435" s="26" t="n"/>
      <c r="M435" s="36">
        <f>IF($A440="","",IF(OR($H440="delivered",$H440="invoiced",$H440="paid"),1,0))</f>
        <v/>
      </c>
      <c r="N435" s="35">
        <f>IF($A440="","",IF(AND($M440=1,$J440&lt;&gt;""),$J440-IF($K440="",0,$K440),""))</f>
        <v/>
      </c>
    </row>
    <row r="436" ht="15" customHeight="1" s="27">
      <c r="A436" s="34" t="n"/>
      <c r="B436" s="26" t="n"/>
      <c r="C436" s="26" t="n"/>
      <c r="D436" s="26" t="n"/>
      <c r="E436" s="26" t="n"/>
      <c r="F436" s="26" t="n"/>
      <c r="G436" s="35" t="n"/>
      <c r="H436" s="26" t="n"/>
      <c r="I436" s="34" t="n"/>
      <c r="J436" s="35">
        <f>IF($G441="","",$G441*0.15)</f>
        <v/>
      </c>
      <c r="K436" s="35" t="n"/>
      <c r="L436" s="26" t="n"/>
      <c r="M436" s="36">
        <f>IF($A441="","",IF(OR($H441="delivered",$H441="invoiced",$H441="paid"),1,0))</f>
        <v/>
      </c>
      <c r="N436" s="35">
        <f>IF($A441="","",IF(AND($M441=1,$J441&lt;&gt;""),$J441-IF($K441="",0,$K441),""))</f>
        <v/>
      </c>
    </row>
    <row r="437" ht="15" customHeight="1" s="27">
      <c r="A437" s="34" t="n"/>
      <c r="B437" s="26" t="n"/>
      <c r="C437" s="26" t="n"/>
      <c r="D437" s="26" t="n"/>
      <c r="E437" s="26" t="n"/>
      <c r="F437" s="26" t="n"/>
      <c r="G437" s="35" t="n"/>
      <c r="H437" s="26" t="n"/>
      <c r="I437" s="34" t="n"/>
      <c r="J437" s="35">
        <f>IF($G442="","",$G442*0.15)</f>
        <v/>
      </c>
      <c r="K437" s="35" t="n"/>
      <c r="L437" s="26" t="n"/>
      <c r="M437" s="36">
        <f>IF($A442="","",IF(OR($H442="delivered",$H442="invoiced",$H442="paid"),1,0))</f>
        <v/>
      </c>
      <c r="N437" s="35">
        <f>IF($A442="","",IF(AND($M442=1,$J442&lt;&gt;""),$J442-IF($K442="",0,$K442),""))</f>
        <v/>
      </c>
    </row>
    <row r="438" ht="15" customHeight="1" s="27">
      <c r="A438" s="34" t="n"/>
      <c r="B438" s="26" t="n"/>
      <c r="C438" s="26" t="n"/>
      <c r="D438" s="26" t="n"/>
      <c r="E438" s="26" t="n"/>
      <c r="F438" s="26" t="n"/>
      <c r="G438" s="35" t="n"/>
      <c r="H438" s="26" t="n"/>
      <c r="I438" s="34" t="n"/>
      <c r="J438" s="35">
        <f>IF($G443="","",$G443*0.15)</f>
        <v/>
      </c>
      <c r="K438" s="35" t="n"/>
      <c r="L438" s="26" t="n"/>
      <c r="M438" s="36">
        <f>IF($A443="","",IF(OR($H443="delivered",$H443="invoiced",$H443="paid"),1,0))</f>
        <v/>
      </c>
      <c r="N438" s="35">
        <f>IF($A443="","",IF(AND($M443=1,$J443&lt;&gt;""),$J443-IF($K443="",0,$K443),""))</f>
        <v/>
      </c>
    </row>
    <row r="439" ht="15" customHeight="1" s="27">
      <c r="A439" s="34" t="n"/>
      <c r="B439" s="26" t="n"/>
      <c r="C439" s="26" t="n"/>
      <c r="D439" s="26" t="n"/>
      <c r="E439" s="26" t="n"/>
      <c r="F439" s="26" t="n"/>
      <c r="G439" s="35" t="n"/>
      <c r="H439" s="26" t="n"/>
      <c r="I439" s="34" t="n"/>
      <c r="J439" s="35">
        <f>IF($G444="","",$G444*0.15)</f>
        <v/>
      </c>
      <c r="K439" s="35" t="n"/>
      <c r="L439" s="26" t="n"/>
      <c r="M439" s="36">
        <f>IF($A444="","",IF(OR($H444="delivered",$H444="invoiced",$H444="paid"),1,0))</f>
        <v/>
      </c>
      <c r="N439" s="35">
        <f>IF($A444="","",IF(AND($M444=1,$J444&lt;&gt;""),$J444-IF($K444="",0,$K444),""))</f>
        <v/>
      </c>
    </row>
    <row r="440" ht="15" customHeight="1" s="27">
      <c r="A440" s="34" t="n"/>
      <c r="B440" s="26" t="n"/>
      <c r="C440" s="26" t="n"/>
      <c r="D440" s="26" t="n"/>
      <c r="E440" s="26" t="n"/>
      <c r="F440" s="26" t="n"/>
      <c r="G440" s="35" t="n"/>
      <c r="H440" s="26" t="n"/>
      <c r="I440" s="34" t="n"/>
      <c r="J440" s="35">
        <f>IF($G445="","",$G445*0.15)</f>
        <v/>
      </c>
      <c r="K440" s="35" t="n"/>
      <c r="L440" s="26" t="n"/>
      <c r="M440" s="36">
        <f>IF($A445="","",IF(OR($H445="delivered",$H445="invoiced",$H445="paid"),1,0))</f>
        <v/>
      </c>
      <c r="N440" s="35">
        <f>IF($A445="","",IF(AND($M445=1,$J445&lt;&gt;""),$J445-IF($K445="",0,$K445),""))</f>
        <v/>
      </c>
    </row>
    <row r="441" ht="15" customHeight="1" s="27">
      <c r="A441" s="34" t="n"/>
      <c r="B441" s="26" t="n"/>
      <c r="C441" s="26" t="n"/>
      <c r="D441" s="26" t="n"/>
      <c r="E441" s="26" t="n"/>
      <c r="F441" s="26" t="n"/>
      <c r="G441" s="35" t="n"/>
      <c r="H441" s="26" t="n"/>
      <c r="I441" s="34" t="n"/>
      <c r="J441" s="35">
        <f>IF($G446="","",$G446*0.15)</f>
        <v/>
      </c>
      <c r="K441" s="35" t="n"/>
      <c r="L441" s="26" t="n"/>
      <c r="M441" s="36">
        <f>IF($A446="","",IF(OR($H446="delivered",$H446="invoiced",$H446="paid"),1,0))</f>
        <v/>
      </c>
      <c r="N441" s="35">
        <f>IF($A446="","",IF(AND($M446=1,$J446&lt;&gt;""),$J446-IF($K446="",0,$K446),""))</f>
        <v/>
      </c>
    </row>
    <row r="442" ht="15" customHeight="1" s="27">
      <c r="A442" s="34" t="n"/>
      <c r="B442" s="26" t="n"/>
      <c r="C442" s="26" t="n"/>
      <c r="D442" s="26" t="n"/>
      <c r="E442" s="26" t="n"/>
      <c r="F442" s="26" t="n"/>
      <c r="G442" s="35" t="n"/>
      <c r="H442" s="26" t="n"/>
      <c r="I442" s="34" t="n"/>
      <c r="J442" s="35">
        <f>IF($G447="","",$G447*0.15)</f>
        <v/>
      </c>
      <c r="K442" s="35" t="n"/>
      <c r="L442" s="26" t="n"/>
      <c r="M442" s="36">
        <f>IF($A447="","",IF(OR($H447="delivered",$H447="invoiced",$H447="paid"),1,0))</f>
        <v/>
      </c>
      <c r="N442" s="35">
        <f>IF($A447="","",IF(AND($M447=1,$J447&lt;&gt;""),$J447-IF($K447="",0,$K447),""))</f>
        <v/>
      </c>
    </row>
    <row r="443" ht="15" customHeight="1" s="27">
      <c r="A443" s="34" t="n"/>
      <c r="B443" s="26" t="n"/>
      <c r="C443" s="26" t="n"/>
      <c r="D443" s="26" t="n"/>
      <c r="E443" s="26" t="n"/>
      <c r="F443" s="26" t="n"/>
      <c r="G443" s="35" t="n"/>
      <c r="H443" s="26" t="n"/>
      <c r="I443" s="34" t="n"/>
      <c r="J443" s="35">
        <f>IF($G448="","",$G448*0.15)</f>
        <v/>
      </c>
      <c r="K443" s="35" t="n"/>
      <c r="L443" s="26" t="n"/>
      <c r="M443" s="36">
        <f>IF($A448="","",IF(OR($H448="delivered",$H448="invoiced",$H448="paid"),1,0))</f>
        <v/>
      </c>
      <c r="N443" s="35">
        <f>IF($A448="","",IF(AND($M448=1,$J448&lt;&gt;""),$J448-IF($K448="",0,$K448),""))</f>
        <v/>
      </c>
    </row>
    <row r="444" ht="15" customHeight="1" s="27">
      <c r="A444" s="34" t="n"/>
      <c r="B444" s="26" t="n"/>
      <c r="C444" s="26" t="n"/>
      <c r="D444" s="26" t="n"/>
      <c r="E444" s="26" t="n"/>
      <c r="F444" s="26" t="n"/>
      <c r="G444" s="35" t="n"/>
      <c r="H444" s="26" t="n"/>
      <c r="I444" s="34" t="n"/>
      <c r="J444" s="35">
        <f>IF($G449="","",$G449*0.15)</f>
        <v/>
      </c>
      <c r="K444" s="35" t="n"/>
      <c r="L444" s="26" t="n"/>
      <c r="M444" s="36">
        <f>IF($A449="","",IF(OR($H449="delivered",$H449="invoiced",$H449="paid"),1,0))</f>
        <v/>
      </c>
      <c r="N444" s="35">
        <f>IF($A449="","",IF(AND($M449=1,$J449&lt;&gt;""),$J449-IF($K449="",0,$K449),""))</f>
        <v/>
      </c>
    </row>
    <row r="445" ht="15" customHeight="1" s="27">
      <c r="A445" s="34" t="n"/>
      <c r="B445" s="26" t="n"/>
      <c r="C445" s="26" t="n"/>
      <c r="D445" s="26" t="n"/>
      <c r="E445" s="26" t="n"/>
      <c r="F445" s="26" t="n"/>
      <c r="G445" s="35" t="n"/>
      <c r="H445" s="26" t="n"/>
      <c r="I445" s="34" t="n"/>
      <c r="J445" s="35">
        <f>IF($G450="","",$G450*0.15)</f>
        <v/>
      </c>
      <c r="K445" s="35" t="n"/>
      <c r="L445" s="26" t="n"/>
      <c r="M445" s="36">
        <f>IF($A450="","",IF(OR($H450="delivered",$H450="invoiced",$H450="paid"),1,0))</f>
        <v/>
      </c>
      <c r="N445" s="35">
        <f>IF($A450="","",IF(AND($M450=1,$J450&lt;&gt;""),$J450-IF($K450="",0,$K450),""))</f>
        <v/>
      </c>
    </row>
    <row r="446" ht="15" customHeight="1" s="27">
      <c r="A446" s="34" t="n"/>
      <c r="B446" s="26" t="n"/>
      <c r="C446" s="26" t="n"/>
      <c r="D446" s="26" t="n"/>
      <c r="E446" s="26" t="n"/>
      <c r="F446" s="26" t="n"/>
      <c r="G446" s="35" t="n"/>
      <c r="H446" s="26" t="n"/>
      <c r="I446" s="34" t="n"/>
      <c r="J446" s="35">
        <f>IF($G451="","",$G451*0.15)</f>
        <v/>
      </c>
      <c r="K446" s="35" t="n"/>
      <c r="L446" s="26" t="n"/>
      <c r="M446" s="36">
        <f>IF($A451="","",IF(OR($H451="delivered",$H451="invoiced",$H451="paid"),1,0))</f>
        <v/>
      </c>
      <c r="N446" s="35">
        <f>IF($A451="","",IF(AND($M451=1,$J451&lt;&gt;""),$J451-IF($K451="",0,$K451),""))</f>
        <v/>
      </c>
    </row>
    <row r="447" ht="15" customHeight="1" s="27">
      <c r="A447" s="34" t="n"/>
      <c r="B447" s="26" t="n"/>
      <c r="C447" s="26" t="n"/>
      <c r="D447" s="26" t="n"/>
      <c r="E447" s="26" t="n"/>
      <c r="F447" s="26" t="n"/>
      <c r="G447" s="35" t="n"/>
      <c r="H447" s="26" t="n"/>
      <c r="I447" s="34" t="n"/>
      <c r="J447" s="35">
        <f>IF($G452="","",$G452*0.15)</f>
        <v/>
      </c>
      <c r="K447" s="35" t="n"/>
      <c r="L447" s="26" t="n"/>
      <c r="M447" s="36">
        <f>IF($A452="","",IF(OR($H452="delivered",$H452="invoiced",$H452="paid"),1,0))</f>
        <v/>
      </c>
      <c r="N447" s="35">
        <f>IF($A452="","",IF(AND($M452=1,$J452&lt;&gt;""),$J452-IF($K452="",0,$K452),""))</f>
        <v/>
      </c>
    </row>
    <row r="448" ht="15" customHeight="1" s="27">
      <c r="A448" s="34" t="n"/>
      <c r="B448" s="26" t="n"/>
      <c r="C448" s="26" t="n"/>
      <c r="D448" s="26" t="n"/>
      <c r="E448" s="26" t="n"/>
      <c r="F448" s="26" t="n"/>
      <c r="G448" s="35" t="n"/>
      <c r="H448" s="26" t="n"/>
      <c r="I448" s="34" t="n"/>
      <c r="J448" s="35">
        <f>IF($G453="","",$G453*0.15)</f>
        <v/>
      </c>
      <c r="K448" s="35" t="n"/>
      <c r="L448" s="26" t="n"/>
      <c r="M448" s="36">
        <f>IF($A453="","",IF(OR($H453="delivered",$H453="invoiced",$H453="paid"),1,0))</f>
        <v/>
      </c>
      <c r="N448" s="35">
        <f>IF($A453="","",IF(AND($M453=1,$J453&lt;&gt;""),$J453-IF($K453="",0,$K453),""))</f>
        <v/>
      </c>
    </row>
    <row r="449" ht="15" customHeight="1" s="27">
      <c r="A449" s="34" t="n"/>
      <c r="B449" s="26" t="n"/>
      <c r="C449" s="26" t="n"/>
      <c r="D449" s="26" t="n"/>
      <c r="E449" s="26" t="n"/>
      <c r="F449" s="26" t="n"/>
      <c r="G449" s="35" t="n"/>
      <c r="H449" s="26" t="n"/>
      <c r="I449" s="34" t="n"/>
      <c r="J449" s="35">
        <f>IF($G454="","",$G454*0.15)</f>
        <v/>
      </c>
      <c r="K449" s="35" t="n"/>
      <c r="L449" s="26" t="n"/>
      <c r="M449" s="36">
        <f>IF($A454="","",IF(OR($H454="delivered",$H454="invoiced",$H454="paid"),1,0))</f>
        <v/>
      </c>
      <c r="N449" s="35">
        <f>IF($A454="","",IF(AND($M454=1,$J454&lt;&gt;""),$J454-IF($K454="",0,$K454),""))</f>
        <v/>
      </c>
    </row>
    <row r="450" ht="15" customHeight="1" s="27">
      <c r="A450" s="34" t="n"/>
      <c r="B450" s="26" t="n"/>
      <c r="C450" s="26" t="n"/>
      <c r="D450" s="26" t="n"/>
      <c r="E450" s="26" t="n"/>
      <c r="F450" s="26" t="n"/>
      <c r="G450" s="35" t="n"/>
      <c r="H450" s="26" t="n"/>
      <c r="I450" s="34" t="n"/>
      <c r="J450" s="35">
        <f>IF($G455="","",$G455*0.15)</f>
        <v/>
      </c>
      <c r="K450" s="35" t="n"/>
      <c r="L450" s="26" t="n"/>
      <c r="M450" s="36">
        <f>IF($A455="","",IF(OR($H455="delivered",$H455="invoiced",$H455="paid"),1,0))</f>
        <v/>
      </c>
      <c r="N450" s="35">
        <f>IF($A455="","",IF(AND($M455=1,$J455&lt;&gt;""),$J455-IF($K455="",0,$K455),""))</f>
        <v/>
      </c>
    </row>
    <row r="451" ht="15" customHeight="1" s="27">
      <c r="A451" s="34" t="n"/>
      <c r="B451" s="26" t="n"/>
      <c r="C451" s="26" t="n"/>
      <c r="D451" s="26" t="n"/>
      <c r="E451" s="26" t="n"/>
      <c r="F451" s="26" t="n"/>
      <c r="G451" s="35" t="n"/>
      <c r="H451" s="26" t="n"/>
      <c r="I451" s="34" t="n"/>
      <c r="J451" s="35">
        <f>IF($G456="","",$G456*0.15)</f>
        <v/>
      </c>
      <c r="K451" s="35" t="n"/>
      <c r="L451" s="26" t="n"/>
      <c r="M451" s="36">
        <f>IF($A456="","",IF(OR($H456="delivered",$H456="invoiced",$H456="paid"),1,0))</f>
        <v/>
      </c>
      <c r="N451" s="35">
        <f>IF($A456="","",IF(AND($M456=1,$J456&lt;&gt;""),$J456-IF($K456="",0,$K456),""))</f>
        <v/>
      </c>
    </row>
    <row r="452" ht="15" customHeight="1" s="27">
      <c r="A452" s="34" t="n"/>
      <c r="B452" s="26" t="n"/>
      <c r="C452" s="26" t="n"/>
      <c r="D452" s="26" t="n"/>
      <c r="E452" s="26" t="n"/>
      <c r="F452" s="26" t="n"/>
      <c r="G452" s="35" t="n"/>
      <c r="H452" s="26" t="n"/>
      <c r="I452" s="34" t="n"/>
      <c r="J452" s="35">
        <f>IF($G457="","",$G457*0.15)</f>
        <v/>
      </c>
      <c r="K452" s="35" t="n"/>
      <c r="L452" s="26" t="n"/>
      <c r="M452" s="36">
        <f>IF($A457="","",IF(OR($H457="delivered",$H457="invoiced",$H457="paid"),1,0))</f>
        <v/>
      </c>
      <c r="N452" s="35">
        <f>IF($A457="","",IF(AND($M457=1,$J457&lt;&gt;""),$J457-IF($K457="",0,$K457),""))</f>
        <v/>
      </c>
    </row>
    <row r="453" ht="15" customHeight="1" s="27">
      <c r="A453" s="34" t="n"/>
      <c r="B453" s="26" t="n"/>
      <c r="C453" s="26" t="n"/>
      <c r="D453" s="26" t="n"/>
      <c r="E453" s="26" t="n"/>
      <c r="F453" s="26" t="n"/>
      <c r="G453" s="35" t="n"/>
      <c r="H453" s="26" t="n"/>
      <c r="I453" s="34" t="n"/>
      <c r="J453" s="35">
        <f>IF($G458="","",$G458*0.15)</f>
        <v/>
      </c>
      <c r="K453" s="35" t="n"/>
      <c r="L453" s="26" t="n"/>
      <c r="M453" s="36">
        <f>IF($A458="","",IF(OR($H458="delivered",$H458="invoiced",$H458="paid"),1,0))</f>
        <v/>
      </c>
      <c r="N453" s="35">
        <f>IF($A458="","",IF(AND($M458=1,$J458&lt;&gt;""),$J458-IF($K458="",0,$K458),""))</f>
        <v/>
      </c>
    </row>
    <row r="454" ht="15" customHeight="1" s="27">
      <c r="A454" s="34" t="n"/>
      <c r="B454" s="26" t="n"/>
      <c r="C454" s="26" t="n"/>
      <c r="D454" s="26" t="n"/>
      <c r="E454" s="26" t="n"/>
      <c r="F454" s="26" t="n"/>
      <c r="G454" s="35" t="n"/>
      <c r="H454" s="26" t="n"/>
      <c r="I454" s="34" t="n"/>
      <c r="J454" s="35">
        <f>IF($G459="","",$G459*0.15)</f>
        <v/>
      </c>
      <c r="K454" s="35" t="n"/>
      <c r="L454" s="26" t="n"/>
      <c r="M454" s="36">
        <f>IF($A459="","",IF(OR($H459="delivered",$H459="invoiced",$H459="paid"),1,0))</f>
        <v/>
      </c>
      <c r="N454" s="35">
        <f>IF($A459="","",IF(AND($M459=1,$J459&lt;&gt;""),$J459-IF($K459="",0,$K459),""))</f>
        <v/>
      </c>
    </row>
    <row r="455" ht="15" customHeight="1" s="27">
      <c r="A455" s="34" t="n"/>
      <c r="B455" s="26" t="n"/>
      <c r="C455" s="26" t="n"/>
      <c r="D455" s="26" t="n"/>
      <c r="E455" s="26" t="n"/>
      <c r="F455" s="26" t="n"/>
      <c r="G455" s="35" t="n"/>
      <c r="H455" s="26" t="n"/>
      <c r="I455" s="34" t="n"/>
      <c r="J455" s="35">
        <f>IF($G460="","",$G460*0.15)</f>
        <v/>
      </c>
      <c r="K455" s="35" t="n"/>
      <c r="L455" s="26" t="n"/>
      <c r="M455" s="36">
        <f>IF($A460="","",IF(OR($H460="delivered",$H460="invoiced",$H460="paid"),1,0))</f>
        <v/>
      </c>
      <c r="N455" s="35">
        <f>IF($A460="","",IF(AND($M460=1,$J460&lt;&gt;""),$J460-IF($K460="",0,$K460),""))</f>
        <v/>
      </c>
    </row>
    <row r="456" ht="15" customHeight="1" s="27">
      <c r="A456" s="34" t="n"/>
      <c r="B456" s="26" t="n"/>
      <c r="C456" s="26" t="n"/>
      <c r="D456" s="26" t="n"/>
      <c r="E456" s="26" t="n"/>
      <c r="F456" s="26" t="n"/>
      <c r="G456" s="35" t="n"/>
      <c r="H456" s="26" t="n"/>
      <c r="I456" s="34" t="n"/>
      <c r="J456" s="35">
        <f>IF($G461="","",$G461*0.15)</f>
        <v/>
      </c>
      <c r="K456" s="35" t="n"/>
      <c r="L456" s="26" t="n"/>
      <c r="M456" s="36">
        <f>IF($A461="","",IF(OR($H461="delivered",$H461="invoiced",$H461="paid"),1,0))</f>
        <v/>
      </c>
      <c r="N456" s="35">
        <f>IF($A461="","",IF(AND($M461=1,$J461&lt;&gt;""),$J461-IF($K461="",0,$K461),""))</f>
        <v/>
      </c>
    </row>
    <row r="457" ht="15" customHeight="1" s="27">
      <c r="A457" s="34" t="n"/>
      <c r="B457" s="26" t="n"/>
      <c r="C457" s="26" t="n"/>
      <c r="D457" s="26" t="n"/>
      <c r="E457" s="26" t="n"/>
      <c r="F457" s="26" t="n"/>
      <c r="G457" s="35" t="n"/>
      <c r="H457" s="26" t="n"/>
      <c r="I457" s="34" t="n"/>
      <c r="J457" s="35">
        <f>IF($G462="","",$G462*0.15)</f>
        <v/>
      </c>
      <c r="K457" s="35" t="n"/>
      <c r="L457" s="26" t="n"/>
      <c r="M457" s="36">
        <f>IF($A462="","",IF(OR($H462="delivered",$H462="invoiced",$H462="paid"),1,0))</f>
        <v/>
      </c>
      <c r="N457" s="35">
        <f>IF($A462="","",IF(AND($M462=1,$J462&lt;&gt;""),$J462-IF($K462="",0,$K462),""))</f>
        <v/>
      </c>
    </row>
    <row r="458" ht="15" customHeight="1" s="27">
      <c r="A458" s="34" t="n"/>
      <c r="B458" s="26" t="n"/>
      <c r="C458" s="26" t="n"/>
      <c r="D458" s="26" t="n"/>
      <c r="E458" s="26" t="n"/>
      <c r="F458" s="26" t="n"/>
      <c r="G458" s="35" t="n"/>
      <c r="H458" s="26" t="n"/>
      <c r="I458" s="34" t="n"/>
      <c r="J458" s="35">
        <f>IF($G463="","",$G463*0.15)</f>
        <v/>
      </c>
      <c r="K458" s="35" t="n"/>
      <c r="L458" s="26" t="n"/>
      <c r="M458" s="36">
        <f>IF($A463="","",IF(OR($H463="delivered",$H463="invoiced",$H463="paid"),1,0))</f>
        <v/>
      </c>
      <c r="N458" s="35">
        <f>IF($A463="","",IF(AND($M463=1,$J463&lt;&gt;""),$J463-IF($K463="",0,$K463),""))</f>
        <v/>
      </c>
    </row>
    <row r="459" ht="15" customHeight="1" s="27">
      <c r="A459" s="34" t="n"/>
      <c r="B459" s="26" t="n"/>
      <c r="C459" s="26" t="n"/>
      <c r="D459" s="26" t="n"/>
      <c r="E459" s="26" t="n"/>
      <c r="F459" s="26" t="n"/>
      <c r="G459" s="35" t="n"/>
      <c r="H459" s="26" t="n"/>
      <c r="I459" s="34" t="n"/>
      <c r="J459" s="35">
        <f>IF($G464="","",$G464*0.15)</f>
        <v/>
      </c>
      <c r="K459" s="35" t="n"/>
      <c r="L459" s="26" t="n"/>
      <c r="M459" s="36">
        <f>IF($A464="","",IF(OR($H464="delivered",$H464="invoiced",$H464="paid"),1,0))</f>
        <v/>
      </c>
      <c r="N459" s="35">
        <f>IF($A464="","",IF(AND($M464=1,$J464&lt;&gt;""),$J464-IF($K464="",0,$K464),""))</f>
        <v/>
      </c>
    </row>
    <row r="460" ht="15" customHeight="1" s="27">
      <c r="A460" s="34" t="n"/>
      <c r="B460" s="26" t="n"/>
      <c r="C460" s="26" t="n"/>
      <c r="D460" s="26" t="n"/>
      <c r="E460" s="26" t="n"/>
      <c r="F460" s="26" t="n"/>
      <c r="G460" s="35" t="n"/>
      <c r="H460" s="26" t="n"/>
      <c r="I460" s="34" t="n"/>
      <c r="J460" s="35">
        <f>IF($G465="","",$G465*0.15)</f>
        <v/>
      </c>
      <c r="K460" s="35" t="n"/>
      <c r="L460" s="26" t="n"/>
      <c r="M460" s="36">
        <f>IF($A465="","",IF(OR($H465="delivered",$H465="invoiced",$H465="paid"),1,0))</f>
        <v/>
      </c>
      <c r="N460" s="35">
        <f>IF($A465="","",IF(AND($M465=1,$J465&lt;&gt;""),$J465-IF($K465="",0,$K465),""))</f>
        <v/>
      </c>
    </row>
    <row r="461" ht="15" customHeight="1" s="27">
      <c r="A461" s="34" t="n"/>
      <c r="B461" s="26" t="n"/>
      <c r="C461" s="26" t="n"/>
      <c r="D461" s="26" t="n"/>
      <c r="E461" s="26" t="n"/>
      <c r="F461" s="26" t="n"/>
      <c r="G461" s="35" t="n"/>
      <c r="H461" s="26" t="n"/>
      <c r="I461" s="34" t="n"/>
      <c r="J461" s="35">
        <f>IF($G466="","",$G466*0.15)</f>
        <v/>
      </c>
      <c r="K461" s="35" t="n"/>
      <c r="L461" s="26" t="n"/>
      <c r="M461" s="36">
        <f>IF($A466="","",IF(OR($H466="delivered",$H466="invoiced",$H466="paid"),1,0))</f>
        <v/>
      </c>
      <c r="N461" s="35">
        <f>IF($A466="","",IF(AND($M466=1,$J466&lt;&gt;""),$J466-IF($K466="",0,$K466),""))</f>
        <v/>
      </c>
    </row>
    <row r="462" ht="15" customHeight="1" s="27">
      <c r="A462" s="34" t="n"/>
      <c r="B462" s="26" t="n"/>
      <c r="C462" s="26" t="n"/>
      <c r="D462" s="26" t="n"/>
      <c r="E462" s="26" t="n"/>
      <c r="F462" s="26" t="n"/>
      <c r="G462" s="35" t="n"/>
      <c r="H462" s="26" t="n"/>
      <c r="I462" s="34" t="n"/>
      <c r="J462" s="35">
        <f>IF($G467="","",$G467*0.15)</f>
        <v/>
      </c>
      <c r="K462" s="35" t="n"/>
      <c r="L462" s="26" t="n"/>
      <c r="M462" s="36">
        <f>IF($A467="","",IF(OR($H467="delivered",$H467="invoiced",$H467="paid"),1,0))</f>
        <v/>
      </c>
      <c r="N462" s="35">
        <f>IF($A467="","",IF(AND($M467=1,$J467&lt;&gt;""),$J467-IF($K467="",0,$K467),""))</f>
        <v/>
      </c>
    </row>
    <row r="463" ht="15" customHeight="1" s="27">
      <c r="A463" s="34" t="n"/>
      <c r="B463" s="26" t="n"/>
      <c r="C463" s="26" t="n"/>
      <c r="D463" s="26" t="n"/>
      <c r="E463" s="26" t="n"/>
      <c r="F463" s="26" t="n"/>
      <c r="G463" s="35" t="n"/>
      <c r="H463" s="26" t="n"/>
      <c r="I463" s="34" t="n"/>
      <c r="J463" s="35">
        <f>IF($G468="","",$G468*0.15)</f>
        <v/>
      </c>
      <c r="K463" s="35" t="n"/>
      <c r="L463" s="26" t="n"/>
      <c r="M463" s="36">
        <f>IF($A468="","",IF(OR($H468="delivered",$H468="invoiced",$H468="paid"),1,0))</f>
        <v/>
      </c>
      <c r="N463" s="35">
        <f>IF($A468="","",IF(AND($M468=1,$J468&lt;&gt;""),$J468-IF($K468="",0,$K468),""))</f>
        <v/>
      </c>
    </row>
    <row r="464" ht="15" customHeight="1" s="27">
      <c r="A464" s="34" t="n"/>
      <c r="B464" s="26" t="n"/>
      <c r="C464" s="26" t="n"/>
      <c r="D464" s="26" t="n"/>
      <c r="E464" s="26" t="n"/>
      <c r="F464" s="26" t="n"/>
      <c r="G464" s="35" t="n"/>
      <c r="H464" s="26" t="n"/>
      <c r="I464" s="34" t="n"/>
      <c r="J464" s="35">
        <f>IF($G469="","",$G469*0.15)</f>
        <v/>
      </c>
      <c r="K464" s="35" t="n"/>
      <c r="L464" s="26" t="n"/>
      <c r="M464" s="36">
        <f>IF($A469="","",IF(OR($H469="delivered",$H469="invoiced",$H469="paid"),1,0))</f>
        <v/>
      </c>
      <c r="N464" s="35">
        <f>IF($A469="","",IF(AND($M469=1,$J469&lt;&gt;""),$J469-IF($K469="",0,$K469),""))</f>
        <v/>
      </c>
    </row>
    <row r="465" ht="15" customHeight="1" s="27">
      <c r="A465" s="34" t="n"/>
      <c r="B465" s="26" t="n"/>
      <c r="C465" s="26" t="n"/>
      <c r="D465" s="26" t="n"/>
      <c r="E465" s="26" t="n"/>
      <c r="F465" s="26" t="n"/>
      <c r="G465" s="35" t="n"/>
      <c r="H465" s="26" t="n"/>
      <c r="I465" s="34" t="n"/>
      <c r="J465" s="35">
        <f>IF($G470="","",$G470*0.15)</f>
        <v/>
      </c>
      <c r="K465" s="35" t="n"/>
      <c r="L465" s="26" t="n"/>
      <c r="M465" s="36">
        <f>IF($A470="","",IF(OR($H470="delivered",$H470="invoiced",$H470="paid"),1,0))</f>
        <v/>
      </c>
      <c r="N465" s="35">
        <f>IF($A470="","",IF(AND($M470=1,$J470&lt;&gt;""),$J470-IF($K470="",0,$K470),""))</f>
        <v/>
      </c>
    </row>
    <row r="466" ht="15" customHeight="1" s="27">
      <c r="A466" s="34" t="n"/>
      <c r="B466" s="26" t="n"/>
      <c r="C466" s="26" t="n"/>
      <c r="D466" s="26" t="n"/>
      <c r="E466" s="26" t="n"/>
      <c r="F466" s="26" t="n"/>
      <c r="G466" s="35" t="n"/>
      <c r="H466" s="26" t="n"/>
      <c r="I466" s="34" t="n"/>
      <c r="J466" s="35">
        <f>IF($G471="","",$G471*0.15)</f>
        <v/>
      </c>
      <c r="K466" s="35" t="n"/>
      <c r="L466" s="26" t="n"/>
      <c r="M466" s="36">
        <f>IF($A471="","",IF(OR($H471="delivered",$H471="invoiced",$H471="paid"),1,0))</f>
        <v/>
      </c>
      <c r="N466" s="35">
        <f>IF($A471="","",IF(AND($M471=1,$J471&lt;&gt;""),$J471-IF($K471="",0,$K471),""))</f>
        <v/>
      </c>
    </row>
    <row r="467" ht="15" customHeight="1" s="27">
      <c r="A467" s="34" t="n"/>
      <c r="B467" s="26" t="n"/>
      <c r="C467" s="26" t="n"/>
      <c r="D467" s="26" t="n"/>
      <c r="E467" s="26" t="n"/>
      <c r="F467" s="26" t="n"/>
      <c r="G467" s="35" t="n"/>
      <c r="H467" s="26" t="n"/>
      <c r="I467" s="34" t="n"/>
      <c r="J467" s="35">
        <f>IF($G472="","",$G472*0.15)</f>
        <v/>
      </c>
      <c r="K467" s="35" t="n"/>
      <c r="L467" s="26" t="n"/>
      <c r="M467" s="36">
        <f>IF($A472="","",IF(OR($H472="delivered",$H472="invoiced",$H472="paid"),1,0))</f>
        <v/>
      </c>
      <c r="N467" s="35">
        <f>IF($A472="","",IF(AND($M472=1,$J472&lt;&gt;""),$J472-IF($K472="",0,$K472),""))</f>
        <v/>
      </c>
    </row>
    <row r="468" ht="15" customHeight="1" s="27">
      <c r="A468" s="34" t="n"/>
      <c r="B468" s="26" t="n"/>
      <c r="C468" s="26" t="n"/>
      <c r="D468" s="26" t="n"/>
      <c r="E468" s="26" t="n"/>
      <c r="F468" s="26" t="n"/>
      <c r="G468" s="35" t="n"/>
      <c r="H468" s="26" t="n"/>
      <c r="I468" s="34" t="n"/>
      <c r="J468" s="35">
        <f>IF($G473="","",$G473*0.15)</f>
        <v/>
      </c>
      <c r="K468" s="35" t="n"/>
      <c r="L468" s="26" t="n"/>
      <c r="M468" s="36">
        <f>IF($A473="","",IF(OR($H473="delivered",$H473="invoiced",$H473="paid"),1,0))</f>
        <v/>
      </c>
      <c r="N468" s="35">
        <f>IF($A473="","",IF(AND($M473=1,$J473&lt;&gt;""),$J473-IF($K473="",0,$K473),""))</f>
        <v/>
      </c>
    </row>
    <row r="469" ht="15" customHeight="1" s="27">
      <c r="A469" s="34" t="n"/>
      <c r="B469" s="26" t="n"/>
      <c r="C469" s="26" t="n"/>
      <c r="D469" s="26" t="n"/>
      <c r="E469" s="26" t="n"/>
      <c r="F469" s="26" t="n"/>
      <c r="G469" s="35" t="n"/>
      <c r="H469" s="26" t="n"/>
      <c r="I469" s="34" t="n"/>
      <c r="J469" s="35">
        <f>IF($G474="","",$G474*0.15)</f>
        <v/>
      </c>
      <c r="K469" s="35" t="n"/>
      <c r="L469" s="26" t="n"/>
      <c r="M469" s="36">
        <f>IF($A474="","",IF(OR($H474="delivered",$H474="invoiced",$H474="paid"),1,0))</f>
        <v/>
      </c>
      <c r="N469" s="35">
        <f>IF($A474="","",IF(AND($M474=1,$J474&lt;&gt;""),$J474-IF($K474="",0,$K474),""))</f>
        <v/>
      </c>
    </row>
    <row r="470" ht="15" customHeight="1" s="27">
      <c r="A470" s="34" t="n"/>
      <c r="B470" s="26" t="n"/>
      <c r="C470" s="26" t="n"/>
      <c r="D470" s="26" t="n"/>
      <c r="E470" s="26" t="n"/>
      <c r="F470" s="26" t="n"/>
      <c r="G470" s="35" t="n"/>
      <c r="H470" s="26" t="n"/>
      <c r="I470" s="34" t="n"/>
      <c r="J470" s="35">
        <f>IF($G475="","",$G475*0.15)</f>
        <v/>
      </c>
      <c r="K470" s="35" t="n"/>
      <c r="L470" s="26" t="n"/>
      <c r="M470" s="36">
        <f>IF($A475="","",IF(OR($H475="delivered",$H475="invoiced",$H475="paid"),1,0))</f>
        <v/>
      </c>
      <c r="N470" s="35">
        <f>IF($A475="","",IF(AND($M475=1,$J475&lt;&gt;""),$J475-IF($K475="",0,$K475),""))</f>
        <v/>
      </c>
    </row>
    <row r="471" ht="15" customHeight="1" s="27">
      <c r="A471" s="34" t="n"/>
      <c r="B471" s="26" t="n"/>
      <c r="C471" s="26" t="n"/>
      <c r="D471" s="26" t="n"/>
      <c r="E471" s="26" t="n"/>
      <c r="F471" s="26" t="n"/>
      <c r="G471" s="35" t="n"/>
      <c r="H471" s="26" t="n"/>
      <c r="I471" s="34" t="n"/>
      <c r="J471" s="35">
        <f>IF($G476="","",$G476*0.15)</f>
        <v/>
      </c>
      <c r="K471" s="35" t="n"/>
      <c r="L471" s="26" t="n"/>
      <c r="M471" s="36">
        <f>IF($A476="","",IF(OR($H476="delivered",$H476="invoiced",$H476="paid"),1,0))</f>
        <v/>
      </c>
      <c r="N471" s="35">
        <f>IF($A476="","",IF(AND($M476=1,$J476&lt;&gt;""),$J476-IF($K476="",0,$K476),""))</f>
        <v/>
      </c>
    </row>
    <row r="472" ht="15" customHeight="1" s="27">
      <c r="A472" s="34" t="n"/>
      <c r="B472" s="26" t="n"/>
      <c r="C472" s="26" t="n"/>
      <c r="D472" s="26" t="n"/>
      <c r="E472" s="26" t="n"/>
      <c r="F472" s="26" t="n"/>
      <c r="G472" s="35" t="n"/>
      <c r="H472" s="26" t="n"/>
      <c r="I472" s="34" t="n"/>
      <c r="J472" s="35">
        <f>IF($G477="","",$G477*0.15)</f>
        <v/>
      </c>
      <c r="K472" s="35" t="n"/>
      <c r="L472" s="26" t="n"/>
      <c r="M472" s="36">
        <f>IF($A477="","",IF(OR($H477="delivered",$H477="invoiced",$H477="paid"),1,0))</f>
        <v/>
      </c>
      <c r="N472" s="35">
        <f>IF($A477="","",IF(AND($M477=1,$J477&lt;&gt;""),$J477-IF($K477="",0,$K477),""))</f>
        <v/>
      </c>
    </row>
    <row r="473" ht="15" customHeight="1" s="27">
      <c r="A473" s="34" t="n"/>
      <c r="B473" s="26" t="n"/>
      <c r="C473" s="26" t="n"/>
      <c r="D473" s="26" t="n"/>
      <c r="E473" s="26" t="n"/>
      <c r="F473" s="26" t="n"/>
      <c r="G473" s="35" t="n"/>
      <c r="H473" s="26" t="n"/>
      <c r="I473" s="34" t="n"/>
      <c r="J473" s="35">
        <f>IF($G478="","",$G478*0.15)</f>
        <v/>
      </c>
      <c r="K473" s="35" t="n"/>
      <c r="L473" s="26" t="n"/>
      <c r="M473" s="36">
        <f>IF($A478="","",IF(OR($H478="delivered",$H478="invoiced",$H478="paid"),1,0))</f>
        <v/>
      </c>
      <c r="N473" s="35">
        <f>IF($A478="","",IF(AND($M478=1,$J478&lt;&gt;""),$J478-IF($K478="",0,$K478),""))</f>
        <v/>
      </c>
    </row>
    <row r="474" ht="15" customHeight="1" s="27">
      <c r="A474" s="34" t="n"/>
      <c r="B474" s="26" t="n"/>
      <c r="C474" s="26" t="n"/>
      <c r="D474" s="26" t="n"/>
      <c r="E474" s="26" t="n"/>
      <c r="F474" s="26" t="n"/>
      <c r="G474" s="35" t="n"/>
      <c r="H474" s="26" t="n"/>
      <c r="I474" s="34" t="n"/>
      <c r="J474" s="35">
        <f>IF($G479="","",$G479*0.15)</f>
        <v/>
      </c>
      <c r="K474" s="35" t="n"/>
      <c r="L474" s="26" t="n"/>
      <c r="M474" s="36">
        <f>IF($A479="","",IF(OR($H479="delivered",$H479="invoiced",$H479="paid"),1,0))</f>
        <v/>
      </c>
      <c r="N474" s="35">
        <f>IF($A479="","",IF(AND($M479=1,$J479&lt;&gt;""),$J479-IF($K479="",0,$K479),""))</f>
        <v/>
      </c>
    </row>
    <row r="475" ht="15" customHeight="1" s="27">
      <c r="A475" s="34" t="n"/>
      <c r="B475" s="26" t="n"/>
      <c r="C475" s="26" t="n"/>
      <c r="D475" s="26" t="n"/>
      <c r="E475" s="26" t="n"/>
      <c r="F475" s="26" t="n"/>
      <c r="G475" s="35" t="n"/>
      <c r="H475" s="26" t="n"/>
      <c r="I475" s="34" t="n"/>
      <c r="J475" s="35">
        <f>IF($G480="","",$G480*0.15)</f>
        <v/>
      </c>
      <c r="K475" s="35" t="n"/>
      <c r="L475" s="26" t="n"/>
      <c r="M475" s="36">
        <f>IF($A480="","",IF(OR($H480="delivered",$H480="invoiced",$H480="paid"),1,0))</f>
        <v/>
      </c>
      <c r="N475" s="35">
        <f>IF($A480="","",IF(AND($M480=1,$J480&lt;&gt;""),$J480-IF($K480="",0,$K480),""))</f>
        <v/>
      </c>
    </row>
    <row r="476" ht="15" customHeight="1" s="27">
      <c r="A476" s="34" t="n"/>
      <c r="B476" s="26" t="n"/>
      <c r="C476" s="26" t="n"/>
      <c r="D476" s="26" t="n"/>
      <c r="E476" s="26" t="n"/>
      <c r="F476" s="26" t="n"/>
      <c r="G476" s="35" t="n"/>
      <c r="H476" s="26" t="n"/>
      <c r="I476" s="34" t="n"/>
      <c r="J476" s="35">
        <f>IF($G481="","",$G481*0.15)</f>
        <v/>
      </c>
      <c r="K476" s="35" t="n"/>
      <c r="L476" s="26" t="n"/>
      <c r="M476" s="36">
        <f>IF($A481="","",IF(OR($H481="delivered",$H481="invoiced",$H481="paid"),1,0))</f>
        <v/>
      </c>
      <c r="N476" s="35">
        <f>IF($A481="","",IF(AND($M481=1,$J481&lt;&gt;""),$J481-IF($K481="",0,$K481),""))</f>
        <v/>
      </c>
    </row>
    <row r="477" ht="15" customHeight="1" s="27">
      <c r="A477" s="34" t="n"/>
      <c r="B477" s="26" t="n"/>
      <c r="C477" s="26" t="n"/>
      <c r="D477" s="26" t="n"/>
      <c r="E477" s="26" t="n"/>
      <c r="F477" s="26" t="n"/>
      <c r="G477" s="35" t="n"/>
      <c r="H477" s="26" t="n"/>
      <c r="I477" s="34" t="n"/>
      <c r="J477" s="35">
        <f>IF($G482="","",$G482*0.15)</f>
        <v/>
      </c>
      <c r="K477" s="35" t="n"/>
      <c r="L477" s="26" t="n"/>
      <c r="M477" s="36">
        <f>IF($A482="","",IF(OR($H482="delivered",$H482="invoiced",$H482="paid"),1,0))</f>
        <v/>
      </c>
      <c r="N477" s="35">
        <f>IF($A482="","",IF(AND($M482=1,$J482&lt;&gt;""),$J482-IF($K482="",0,$K482),""))</f>
        <v/>
      </c>
    </row>
    <row r="478" ht="15" customHeight="1" s="27">
      <c r="A478" s="34" t="n"/>
      <c r="B478" s="26" t="n"/>
      <c r="C478" s="26" t="n"/>
      <c r="D478" s="26" t="n"/>
      <c r="E478" s="26" t="n"/>
      <c r="F478" s="26" t="n"/>
      <c r="G478" s="35" t="n"/>
      <c r="H478" s="26" t="n"/>
      <c r="I478" s="34" t="n"/>
      <c r="J478" s="35">
        <f>IF($G483="","",$G483*0.15)</f>
        <v/>
      </c>
      <c r="K478" s="35" t="n"/>
      <c r="L478" s="26" t="n"/>
      <c r="M478" s="36">
        <f>IF($A483="","",IF(OR($H483="delivered",$H483="invoiced",$H483="paid"),1,0))</f>
        <v/>
      </c>
      <c r="N478" s="35">
        <f>IF($A483="","",IF(AND($M483=1,$J483&lt;&gt;""),$J483-IF($K483="",0,$K483),""))</f>
        <v/>
      </c>
    </row>
    <row r="479" ht="15" customHeight="1" s="27">
      <c r="A479" s="34" t="n"/>
      <c r="B479" s="26" t="n"/>
      <c r="C479" s="26" t="n"/>
      <c r="D479" s="26" t="n"/>
      <c r="E479" s="26" t="n"/>
      <c r="F479" s="26" t="n"/>
      <c r="G479" s="35" t="n"/>
      <c r="H479" s="26" t="n"/>
      <c r="I479" s="34" t="n"/>
      <c r="J479" s="35">
        <f>IF($G484="","",$G484*0.15)</f>
        <v/>
      </c>
      <c r="K479" s="35" t="n"/>
      <c r="L479" s="26" t="n"/>
      <c r="M479" s="36">
        <f>IF($A484="","",IF(OR($H484="delivered",$H484="invoiced",$H484="paid"),1,0))</f>
        <v/>
      </c>
      <c r="N479" s="35">
        <f>IF($A484="","",IF(AND($M484=1,$J484&lt;&gt;""),$J484-IF($K484="",0,$K484),""))</f>
        <v/>
      </c>
    </row>
    <row r="480" ht="15" customHeight="1" s="27">
      <c r="A480" s="34" t="n"/>
      <c r="B480" s="26" t="n"/>
      <c r="C480" s="26" t="n"/>
      <c r="D480" s="26" t="n"/>
      <c r="E480" s="26" t="n"/>
      <c r="F480" s="26" t="n"/>
      <c r="G480" s="35" t="n"/>
      <c r="H480" s="26" t="n"/>
      <c r="I480" s="34" t="n"/>
      <c r="J480" s="35">
        <f>IF($G485="","",$G485*0.15)</f>
        <v/>
      </c>
      <c r="K480" s="35" t="n"/>
      <c r="L480" s="26" t="n"/>
      <c r="M480" s="36">
        <f>IF($A485="","",IF(OR($H485="delivered",$H485="invoiced",$H485="paid"),1,0))</f>
        <v/>
      </c>
      <c r="N480" s="35">
        <f>IF($A485="","",IF(AND($M485=1,$J485&lt;&gt;""),$J485-IF($K485="",0,$K485),""))</f>
        <v/>
      </c>
    </row>
    <row r="481" ht="15" customHeight="1" s="27">
      <c r="A481" s="34" t="n"/>
      <c r="B481" s="26" t="n"/>
      <c r="C481" s="26" t="n"/>
      <c r="D481" s="26" t="n"/>
      <c r="E481" s="26" t="n"/>
      <c r="F481" s="26" t="n"/>
      <c r="G481" s="35" t="n"/>
      <c r="H481" s="26" t="n"/>
      <c r="I481" s="34" t="n"/>
      <c r="J481" s="35">
        <f>IF($G486="","",$G486*0.15)</f>
        <v/>
      </c>
      <c r="K481" s="35" t="n"/>
      <c r="L481" s="26" t="n"/>
      <c r="M481" s="36">
        <f>IF($A486="","",IF(OR($H486="delivered",$H486="invoiced",$H486="paid"),1,0))</f>
        <v/>
      </c>
      <c r="N481" s="35">
        <f>IF($A486="","",IF(AND($M486=1,$J486&lt;&gt;""),$J486-IF($K486="",0,$K486),""))</f>
        <v/>
      </c>
    </row>
    <row r="482" ht="15" customHeight="1" s="27">
      <c r="A482" s="34" t="n"/>
      <c r="B482" s="26" t="n"/>
      <c r="C482" s="26" t="n"/>
      <c r="D482" s="26" t="n"/>
      <c r="E482" s="26" t="n"/>
      <c r="F482" s="26" t="n"/>
      <c r="G482" s="35" t="n"/>
      <c r="H482" s="26" t="n"/>
      <c r="I482" s="34" t="n"/>
      <c r="J482" s="35">
        <f>IF($G487="","",$G487*0.15)</f>
        <v/>
      </c>
      <c r="K482" s="35" t="n"/>
      <c r="L482" s="26" t="n"/>
      <c r="M482" s="36">
        <f>IF($A487="","",IF(OR($H487="delivered",$H487="invoiced",$H487="paid"),1,0))</f>
        <v/>
      </c>
      <c r="N482" s="35">
        <f>IF($A487="","",IF(AND($M487=1,$J487&lt;&gt;""),$J487-IF($K487="",0,$K487),""))</f>
        <v/>
      </c>
    </row>
    <row r="483" ht="15" customHeight="1" s="27">
      <c r="A483" s="34" t="n"/>
      <c r="B483" s="26" t="n"/>
      <c r="C483" s="26" t="n"/>
      <c r="D483" s="26" t="n"/>
      <c r="E483" s="26" t="n"/>
      <c r="F483" s="26" t="n"/>
      <c r="G483" s="35" t="n"/>
      <c r="H483" s="26" t="n"/>
      <c r="I483" s="34" t="n"/>
      <c r="J483" s="35">
        <f>IF($G488="","",$G488*0.15)</f>
        <v/>
      </c>
      <c r="K483" s="35" t="n"/>
      <c r="L483" s="26" t="n"/>
      <c r="M483" s="36">
        <f>IF($A488="","",IF(OR($H488="delivered",$H488="invoiced",$H488="paid"),1,0))</f>
        <v/>
      </c>
      <c r="N483" s="35">
        <f>IF($A488="","",IF(AND($M488=1,$J488&lt;&gt;""),$J488-IF($K488="",0,$K488),""))</f>
        <v/>
      </c>
    </row>
    <row r="484" ht="15" customHeight="1" s="27">
      <c r="A484" s="34" t="n"/>
      <c r="B484" s="26" t="n"/>
      <c r="C484" s="26" t="n"/>
      <c r="D484" s="26" t="n"/>
      <c r="E484" s="26" t="n"/>
      <c r="F484" s="26" t="n"/>
      <c r="G484" s="35" t="n"/>
      <c r="H484" s="26" t="n"/>
      <c r="I484" s="34" t="n"/>
      <c r="J484" s="35">
        <f>IF($G489="","",$G489*0.15)</f>
        <v/>
      </c>
      <c r="K484" s="35" t="n"/>
      <c r="L484" s="26" t="n"/>
      <c r="M484" s="36">
        <f>IF($A489="","",IF(OR($H489="delivered",$H489="invoiced",$H489="paid"),1,0))</f>
        <v/>
      </c>
      <c r="N484" s="35">
        <f>IF($A489="","",IF(AND($M489=1,$J489&lt;&gt;""),$J489-IF($K489="",0,$K489),""))</f>
        <v/>
      </c>
    </row>
    <row r="485" ht="15" customHeight="1" s="27">
      <c r="A485" s="34" t="n"/>
      <c r="B485" s="26" t="n"/>
      <c r="C485" s="26" t="n"/>
      <c r="D485" s="26" t="n"/>
      <c r="E485" s="26" t="n"/>
      <c r="F485" s="26" t="n"/>
      <c r="G485" s="35" t="n"/>
      <c r="H485" s="26" t="n"/>
      <c r="I485" s="34" t="n"/>
      <c r="J485" s="35">
        <f>IF($G490="","",$G490*0.15)</f>
        <v/>
      </c>
      <c r="K485" s="35" t="n"/>
      <c r="L485" s="26" t="n"/>
      <c r="M485" s="36">
        <f>IF($A490="","",IF(OR($H490="delivered",$H490="invoiced",$H490="paid"),1,0))</f>
        <v/>
      </c>
      <c r="N485" s="35">
        <f>IF($A490="","",IF(AND($M490=1,$J490&lt;&gt;""),$J490-IF($K490="",0,$K490),""))</f>
        <v/>
      </c>
    </row>
    <row r="486" ht="15" customHeight="1" s="27">
      <c r="A486" s="34" t="n"/>
      <c r="B486" s="26" t="n"/>
      <c r="C486" s="26" t="n"/>
      <c r="D486" s="26" t="n"/>
      <c r="E486" s="26" t="n"/>
      <c r="F486" s="26" t="n"/>
      <c r="G486" s="35" t="n"/>
      <c r="H486" s="26" t="n"/>
      <c r="I486" s="34" t="n"/>
      <c r="J486" s="35">
        <f>IF($G491="","",$G491*0.15)</f>
        <v/>
      </c>
      <c r="K486" s="35" t="n"/>
      <c r="L486" s="26" t="n"/>
      <c r="M486" s="36">
        <f>IF($A491="","",IF(OR($H491="delivered",$H491="invoiced",$H491="paid"),1,0))</f>
        <v/>
      </c>
      <c r="N486" s="35">
        <f>IF($A491="","",IF(AND($M491=1,$J491&lt;&gt;""),$J491-IF($K491="",0,$K491),""))</f>
        <v/>
      </c>
    </row>
    <row r="487" ht="15" customHeight="1" s="27">
      <c r="A487" s="34" t="n"/>
      <c r="B487" s="26" t="n"/>
      <c r="C487" s="26" t="n"/>
      <c r="D487" s="26" t="n"/>
      <c r="E487" s="26" t="n"/>
      <c r="F487" s="26" t="n"/>
      <c r="G487" s="35" t="n"/>
      <c r="H487" s="26" t="n"/>
      <c r="I487" s="34" t="n"/>
      <c r="J487" s="35">
        <f>IF($G492="","",$G492*0.15)</f>
        <v/>
      </c>
      <c r="K487" s="35" t="n"/>
      <c r="L487" s="26" t="n"/>
      <c r="M487" s="36">
        <f>IF($A492="","",IF(OR($H492="delivered",$H492="invoiced",$H492="paid"),1,0))</f>
        <v/>
      </c>
      <c r="N487" s="35">
        <f>IF($A492="","",IF(AND($M492=1,$J492&lt;&gt;""),$J492-IF($K492="",0,$K492),""))</f>
        <v/>
      </c>
    </row>
    <row r="488" ht="15" customHeight="1" s="27">
      <c r="A488" s="34" t="n"/>
      <c r="B488" s="26" t="n"/>
      <c r="C488" s="26" t="n"/>
      <c r="D488" s="26" t="n"/>
      <c r="E488" s="26" t="n"/>
      <c r="F488" s="26" t="n"/>
      <c r="G488" s="35" t="n"/>
      <c r="H488" s="26" t="n"/>
      <c r="I488" s="34" t="n"/>
      <c r="J488" s="35">
        <f>IF($G493="","",$G493*0.15)</f>
        <v/>
      </c>
      <c r="K488" s="35" t="n"/>
      <c r="L488" s="26" t="n"/>
      <c r="M488" s="36">
        <f>IF($A493="","",IF(OR($H493="delivered",$H493="invoiced",$H493="paid"),1,0))</f>
        <v/>
      </c>
      <c r="N488" s="35">
        <f>IF($A493="","",IF(AND($M493=1,$J493&lt;&gt;""),$J493-IF($K493="",0,$K493),""))</f>
        <v/>
      </c>
    </row>
    <row r="489" ht="15" customHeight="1" s="27">
      <c r="A489" s="34" t="n"/>
      <c r="B489" s="26" t="n"/>
      <c r="C489" s="26" t="n"/>
      <c r="D489" s="26" t="n"/>
      <c r="E489" s="26" t="n"/>
      <c r="F489" s="26" t="n"/>
      <c r="G489" s="35" t="n"/>
      <c r="H489" s="26" t="n"/>
      <c r="I489" s="34" t="n"/>
      <c r="J489" s="35">
        <f>IF($G494="","",$G494*0.15)</f>
        <v/>
      </c>
      <c r="K489" s="35" t="n"/>
      <c r="L489" s="26" t="n"/>
      <c r="M489" s="36">
        <f>IF($A494="","",IF(OR($H494="delivered",$H494="invoiced",$H494="paid"),1,0))</f>
        <v/>
      </c>
      <c r="N489" s="35">
        <f>IF($A494="","",IF(AND($M494=1,$J494&lt;&gt;""),$J494-IF($K494="",0,$K494),""))</f>
        <v/>
      </c>
    </row>
    <row r="490" ht="15" customHeight="1" s="27">
      <c r="A490" s="34" t="n"/>
      <c r="B490" s="26" t="n"/>
      <c r="C490" s="26" t="n"/>
      <c r="D490" s="26" t="n"/>
      <c r="E490" s="26" t="n"/>
      <c r="F490" s="26" t="n"/>
      <c r="G490" s="35" t="n"/>
      <c r="H490" s="26" t="n"/>
      <c r="I490" s="34" t="n"/>
      <c r="J490" s="35">
        <f>IF($G495="","",$G495*0.15)</f>
        <v/>
      </c>
      <c r="K490" s="35" t="n"/>
      <c r="L490" s="26" t="n"/>
      <c r="M490" s="36">
        <f>IF($A495="","",IF(OR($H495="delivered",$H495="invoiced",$H495="paid"),1,0))</f>
        <v/>
      </c>
      <c r="N490" s="35">
        <f>IF($A495="","",IF(AND($M495=1,$J495&lt;&gt;""),$J495-IF($K495="",0,$K495),""))</f>
        <v/>
      </c>
    </row>
    <row r="491" ht="15" customHeight="1" s="27">
      <c r="A491" s="34" t="n"/>
      <c r="B491" s="26" t="n"/>
      <c r="C491" s="26" t="n"/>
      <c r="D491" s="26" t="n"/>
      <c r="E491" s="26" t="n"/>
      <c r="F491" s="26" t="n"/>
      <c r="G491" s="35" t="n"/>
      <c r="H491" s="26" t="n"/>
      <c r="I491" s="34" t="n"/>
      <c r="J491" s="35">
        <f>IF($G496="","",$G496*0.15)</f>
        <v/>
      </c>
      <c r="K491" s="35" t="n"/>
      <c r="L491" s="26" t="n"/>
      <c r="M491" s="36">
        <f>IF($A496="","",IF(OR($H496="delivered",$H496="invoiced",$H496="paid"),1,0))</f>
        <v/>
      </c>
      <c r="N491" s="35">
        <f>IF($A496="","",IF(AND($M496=1,$J496&lt;&gt;""),$J496-IF($K496="",0,$K496),""))</f>
        <v/>
      </c>
    </row>
    <row r="492" ht="15" customHeight="1" s="27">
      <c r="A492" s="34" t="n"/>
      <c r="B492" s="26" t="n"/>
      <c r="C492" s="26" t="n"/>
      <c r="D492" s="26" t="n"/>
      <c r="E492" s="26" t="n"/>
      <c r="F492" s="26" t="n"/>
      <c r="G492" s="35" t="n"/>
      <c r="H492" s="26" t="n"/>
      <c r="I492" s="34" t="n"/>
      <c r="J492" s="35">
        <f>IF($G497="","",$G497*0.15)</f>
        <v/>
      </c>
      <c r="K492" s="35" t="n"/>
      <c r="L492" s="26" t="n"/>
      <c r="M492" s="36">
        <f>IF($A497="","",IF(OR($H497="delivered",$H497="invoiced",$H497="paid"),1,0))</f>
        <v/>
      </c>
      <c r="N492" s="35">
        <f>IF($A497="","",IF(AND($M497=1,$J497&lt;&gt;""),$J497-IF($K497="",0,$K497),""))</f>
        <v/>
      </c>
    </row>
    <row r="493" ht="15" customHeight="1" s="27">
      <c r="A493" s="34" t="n"/>
      <c r="B493" s="26" t="n"/>
      <c r="C493" s="26" t="n"/>
      <c r="D493" s="26" t="n"/>
      <c r="E493" s="26" t="n"/>
      <c r="F493" s="26" t="n"/>
      <c r="G493" s="35" t="n"/>
      <c r="H493" s="26" t="n"/>
      <c r="I493" s="34" t="n"/>
      <c r="J493" s="35">
        <f>IF($G498="","",$G498*0.15)</f>
        <v/>
      </c>
      <c r="K493" s="35" t="n"/>
      <c r="L493" s="26" t="n"/>
      <c r="M493" s="36">
        <f>IF($A498="","",IF(OR($H498="delivered",$H498="invoiced",$H498="paid"),1,0))</f>
        <v/>
      </c>
      <c r="N493" s="35">
        <f>IF($A498="","",IF(AND($M498=1,$J498&lt;&gt;""),$J498-IF($K498="",0,$K498),""))</f>
        <v/>
      </c>
    </row>
    <row r="494" ht="15" customHeight="1" s="27">
      <c r="A494" s="34" t="n"/>
      <c r="B494" s="26" t="n"/>
      <c r="C494" s="26" t="n"/>
      <c r="D494" s="26" t="n"/>
      <c r="E494" s="26" t="n"/>
      <c r="F494" s="26" t="n"/>
      <c r="G494" s="35" t="n"/>
      <c r="H494" s="26" t="n"/>
      <c r="I494" s="34" t="n"/>
      <c r="J494" s="35">
        <f>IF($G499="","",$G499*0.15)</f>
        <v/>
      </c>
      <c r="K494" s="35" t="n"/>
      <c r="L494" s="26" t="n"/>
      <c r="M494" s="36">
        <f>IF($A499="","",IF(OR($H499="delivered",$H499="invoiced",$H499="paid"),1,0))</f>
        <v/>
      </c>
      <c r="N494" s="35">
        <f>IF($A499="","",IF(AND($M499=1,$J499&lt;&gt;""),$J499-IF($K499="",0,$K499),""))</f>
        <v/>
      </c>
    </row>
    <row r="495" ht="15" customHeight="1" s="27">
      <c r="A495" s="34" t="n"/>
      <c r="B495" s="26" t="n"/>
      <c r="C495" s="26" t="n"/>
      <c r="D495" s="26" t="n"/>
      <c r="E495" s="26" t="n"/>
      <c r="F495" s="26" t="n"/>
      <c r="G495" s="35" t="n"/>
      <c r="H495" s="26" t="n"/>
      <c r="I495" s="34" t="n"/>
      <c r="J495" s="35">
        <f>IF($G500="","",$G500*0.15)</f>
        <v/>
      </c>
      <c r="K495" s="35" t="n"/>
      <c r="L495" s="26" t="n"/>
      <c r="M495" s="36">
        <f>IF($A500="","",IF(OR($H500="delivered",$H500="invoiced",$H500="paid"),1,0))</f>
        <v/>
      </c>
      <c r="N495" s="35">
        <f>IF($A500="","",IF(AND($M500=1,$J500&lt;&gt;""),$J500-IF($K500="",0,$K500),""))</f>
        <v/>
      </c>
    </row>
    <row r="496" ht="15" customHeight="1" s="27">
      <c r="A496" s="34" t="n"/>
      <c r="B496" s="26" t="n"/>
      <c r="C496" s="26" t="n"/>
      <c r="D496" s="26" t="n"/>
      <c r="E496" s="26" t="n"/>
      <c r="F496" s="26" t="n"/>
      <c r="G496" s="35" t="n"/>
      <c r="H496" s="26" t="n"/>
      <c r="I496" s="34" t="n"/>
      <c r="J496" s="35">
        <f>IF($G501="","",$G501*0.15)</f>
        <v/>
      </c>
      <c r="K496" s="35" t="n"/>
      <c r="L496" s="26" t="n"/>
      <c r="M496" s="36">
        <f>IF($A501="","",IF(OR($H501="delivered",$H501="invoiced",$H501="paid"),1,0))</f>
        <v/>
      </c>
      <c r="N496" s="35">
        <f>IF($A501="","",IF(AND($M501=1,$J501&lt;&gt;""),$J501-IF($K501="",0,$K501),""))</f>
        <v/>
      </c>
    </row>
    <row r="497" ht="15" customHeight="1" s="27">
      <c r="A497" s="34" t="n"/>
      <c r="B497" s="26" t="n"/>
      <c r="C497" s="26" t="n"/>
      <c r="D497" s="26" t="n"/>
      <c r="E497" s="26" t="n"/>
      <c r="F497" s="26" t="n"/>
      <c r="G497" s="35" t="n"/>
      <c r="H497" s="26" t="n"/>
      <c r="I497" s="34" t="n"/>
      <c r="J497" s="35">
        <f>IF($G502="","",$G502*0.15)</f>
        <v/>
      </c>
      <c r="K497" s="35" t="n"/>
      <c r="L497" s="26" t="n"/>
      <c r="M497" s="36">
        <f>IF($A502="","",IF(OR($H502="delivered",$H502="invoiced",$H502="paid"),1,0))</f>
        <v/>
      </c>
      <c r="N497" s="35">
        <f>IF($A502="","",IF(AND($M502=1,$J502&lt;&gt;""),$J502-IF($K502="",0,$K502),""))</f>
        <v/>
      </c>
    </row>
    <row r="498" ht="15" customHeight="1" s="27"/>
    <row r="499" ht="15" customHeight="1" s="27"/>
    <row r="500" ht="15" customHeight="1" s="27"/>
    <row r="501" ht="15" customHeight="1" s="27"/>
    <row r="502" ht="15" customHeight="1" s="27"/>
  </sheetData>
  <autoFilter ref="A2:N502"/>
  <mergeCells count="3">
    <mergeCell ref="L1:N1"/>
    <mergeCell ref="I1:J1"/>
    <mergeCell ref="A1:H1"/>
  </mergeCells>
  <conditionalFormatting sqref="A3:N502">
    <cfRule type="expression" rank="0" priority="2" equalAverage="0" aboveAverage="0" dxfId="7" text="" percent="0" bottom="0">
      <formula>AND($H3="quoted",$A3&lt;&gt;"",TODAY()-$A3&gt;14)</formula>
    </cfRule>
  </conditionalFormatting>
  <dataValidations count="3">
    <dataValidation sqref="D3:D502" showDropDown="0" showInputMessage="0" showErrorMessage="0" allowBlank="1" errorTitle="Not in list" error="Pick a value from the dropdown list." promptTitle="Source code" prompt="Tap to choose from the list." type="list" errorStyle="stop" operator="between">
      <formula1>SourceCodes</formula1>
      <formula2>0</formula2>
    </dataValidation>
    <dataValidation sqref="E3:E502" showDropDown="0" showInputMessage="0" showErrorMessage="0" allowBlank="1" errorTitle="Not in list" error="Pick a value from the dropdown list." promptTitle="Channel" prompt="Tap to choose from the list." type="list" errorStyle="stop" operator="between">
      <formula1>Channels</formula1>
      <formula2>0</formula2>
    </dataValidation>
    <dataValidation sqref="H3:H502" showDropDown="0" showInputMessage="0" showErrorMessage="0" allowBlank="1" errorTitle="Not in list" error="Pick a value from the dropdown list." promptTitle="Status" prompt="Tap to choose from the list." type="list" errorStyle="stop" operator="between">
      <formula1>Statuses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D32"/>
    <outlinePr summaryBelow="1" summaryRight="1"/>
    <pageSetUpPr fitToPage="0"/>
  </sheetPr>
  <dimension ref="A1:G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7" customWidth="1" style="26" min="1" max="1"/>
    <col width="12" customWidth="1" style="26" min="2" max="2"/>
    <col width="10" customWidth="1" style="26" min="3" max="4"/>
    <col width="13" customWidth="1" style="26" min="5" max="5"/>
    <col width="14" customWidth="1" style="26" min="6" max="6"/>
    <col width="16" customWidth="1" style="26" min="7" max="7"/>
  </cols>
  <sheetData>
    <row r="1" ht="24" customHeight="1" s="27">
      <c r="A1" s="28" t="inlineStr">
        <is>
          <t>Monthly Rollup</t>
        </is>
      </c>
    </row>
    <row r="3" ht="15" customHeight="1" s="27">
      <c r="A3" s="37" t="inlineStr">
        <is>
          <t>Overall — all time</t>
        </is>
      </c>
    </row>
    <row r="4" ht="27.75" customHeight="1" s="27">
      <c r="A4" s="32" t="inlineStr">
        <is>
          <t>Total Leads</t>
        </is>
      </c>
      <c r="B4" s="32" t="inlineStr">
        <is>
          <t>Won Deals</t>
        </is>
      </c>
      <c r="C4" s="32" t="inlineStr">
        <is>
          <t>Conversion</t>
        </is>
      </c>
      <c r="D4" s="32" t="inlineStr">
        <is>
          <t>Revenue (won)</t>
        </is>
      </c>
      <c r="E4" s="32" t="inlineStr">
        <is>
          <t>Commission Due</t>
        </is>
      </c>
      <c r="F4" s="32" t="inlineStr">
        <is>
          <t>Commission Paid</t>
        </is>
      </c>
      <c r="G4" s="32" t="inlineStr">
        <is>
          <t>Unpaid Commission</t>
        </is>
      </c>
    </row>
    <row r="5" ht="15" customHeight="1" s="27">
      <c r="A5" s="38">
        <f>COUNT(Leads!$A$3:$A$502)</f>
        <v/>
      </c>
      <c r="B5" s="38">
        <f>SUM(Leads!$M$3:$M$502)</f>
        <v/>
      </c>
      <c r="C5" s="39">
        <f>IF(A5=0,"",B5/A5)</f>
        <v/>
      </c>
      <c r="D5" s="40">
        <f>SUMIFS(Leads!$G$3:$G$502,Leads!$M$3:$M$502,1)</f>
        <v/>
      </c>
      <c r="E5" s="40">
        <f>SUMIFS(Leads!$J$3:$J$502,Leads!$M$3:$M$502,1)</f>
        <v/>
      </c>
      <c r="F5" s="40">
        <f>SUM(Leads!$K$3:$K$502)</f>
        <v/>
      </c>
      <c r="G5" s="41">
        <f>SUM(Leads!$N$3:$N$502)</f>
        <v/>
      </c>
    </row>
    <row r="7" ht="15" customHeight="1" s="27">
      <c r="A7" s="37" t="inlineStr">
        <is>
          <t>By month</t>
        </is>
      </c>
    </row>
    <row r="8" ht="15" customHeight="1" s="27">
      <c r="A8" s="42" t="inlineStr">
        <is>
          <t>Start month:</t>
        </is>
      </c>
      <c r="B8" s="43" t="n">
        <v>46204</v>
      </c>
      <c r="C8" s="44" t="inlineStr">
        <is>
          <t>← change to your first month (yellow cells are the only inputs on this tab)</t>
        </is>
      </c>
    </row>
    <row r="9" ht="24" customHeight="1" s="27">
      <c r="A9" s="32" t="inlineStr">
        <is>
          <t>Month</t>
        </is>
      </c>
      <c r="B9" s="32" t="inlineStr">
        <is>
          <t>Leads</t>
        </is>
      </c>
      <c r="C9" s="32" t="inlineStr">
        <is>
          <t>Won</t>
        </is>
      </c>
      <c r="D9" s="32" t="inlineStr">
        <is>
          <t>Lost</t>
        </is>
      </c>
      <c r="E9" s="32" t="inlineStr">
        <is>
          <t>Conversion %</t>
        </is>
      </c>
      <c r="F9" s="32" t="inlineStr">
        <is>
          <t>Revenue</t>
        </is>
      </c>
      <c r="G9" s="32" t="inlineStr">
        <is>
          <t>Commission Owed</t>
        </is>
      </c>
    </row>
    <row r="10" ht="15" customHeight="1" s="27">
      <c r="A10" s="45">
        <f>$B$8</f>
        <v/>
      </c>
      <c r="B10" s="26">
        <f>COUNTIFS(Leads!$A$3:$A$502,"&gt;="&amp;$A10,Leads!$A$3:$A$502,"&lt;"&amp;EDATE($A10,1))</f>
        <v/>
      </c>
      <c r="C10" s="26">
        <f>COUNTIFS(Leads!$A$3:$A$502,"&gt;="&amp;$A10,Leads!$A$3:$A$502,"&lt;"&amp;EDATE($A10,1),Leads!$M$3:$M$502,1)</f>
        <v/>
      </c>
      <c r="D10" s="26">
        <f>COUNTIFS(Leads!$A$3:$A$502,"&gt;="&amp;$A10,Leads!$A$3:$A$502,"&lt;"&amp;EDATE($A10,1),Leads!$H$3:$H$502,"lost")</f>
        <v/>
      </c>
      <c r="E10" s="46">
        <f>IF(B10=0,"",C10/B10)</f>
        <v/>
      </c>
      <c r="F10" s="35">
        <f>SUMIFS(Leads!$G$3:$G$502,Leads!$A$3:$A$502,"&gt;="&amp;$A10,Leads!$A$3:$A$502,"&lt;"&amp;EDATE($A10,1),Leads!$M$3:$M$502,1)</f>
        <v/>
      </c>
      <c r="G10" s="35">
        <f>SUMIFS(Leads!$J$3:$J$502,Leads!$A$3:$A$502,"&gt;="&amp;$A10,Leads!$A$3:$A$502,"&lt;"&amp;EDATE($A10,1),Leads!$M$3:$M$502,1)</f>
        <v/>
      </c>
    </row>
    <row r="11" ht="15" customHeight="1" s="27">
      <c r="A11" s="45">
        <f>EDATE(A10,1)</f>
        <v/>
      </c>
      <c r="B11" s="26">
        <f>COUNTIFS(Leads!$A$3:$A$502,"&gt;="&amp;$A11,Leads!$A$3:$A$502,"&lt;"&amp;EDATE($A11,1))</f>
        <v/>
      </c>
      <c r="C11" s="26">
        <f>COUNTIFS(Leads!$A$3:$A$502,"&gt;="&amp;$A11,Leads!$A$3:$A$502,"&lt;"&amp;EDATE($A11,1),Leads!$M$3:$M$502,1)</f>
        <v/>
      </c>
      <c r="D11" s="26">
        <f>COUNTIFS(Leads!$A$3:$A$502,"&gt;="&amp;$A11,Leads!$A$3:$A$502,"&lt;"&amp;EDATE($A11,1),Leads!$H$3:$H$502,"lost")</f>
        <v/>
      </c>
      <c r="E11" s="46">
        <f>IF(B11=0,"",C11/B11)</f>
        <v/>
      </c>
      <c r="F11" s="35">
        <f>SUMIFS(Leads!$G$3:$G$502,Leads!$A$3:$A$502,"&gt;="&amp;$A11,Leads!$A$3:$A$502,"&lt;"&amp;EDATE($A11,1),Leads!$M$3:$M$502,1)</f>
        <v/>
      </c>
      <c r="G11" s="35">
        <f>SUMIFS(Leads!$J$3:$J$502,Leads!$A$3:$A$502,"&gt;="&amp;$A11,Leads!$A$3:$A$502,"&lt;"&amp;EDATE($A11,1),Leads!$M$3:$M$502,1)</f>
        <v/>
      </c>
    </row>
    <row r="12" ht="15" customHeight="1" s="27">
      <c r="A12" s="45">
        <f>EDATE(A11,1)</f>
        <v/>
      </c>
      <c r="B12" s="26">
        <f>COUNTIFS(Leads!$A$3:$A$502,"&gt;="&amp;$A12,Leads!$A$3:$A$502,"&lt;"&amp;EDATE($A12,1))</f>
        <v/>
      </c>
      <c r="C12" s="26">
        <f>COUNTIFS(Leads!$A$3:$A$502,"&gt;="&amp;$A12,Leads!$A$3:$A$502,"&lt;"&amp;EDATE($A12,1),Leads!$M$3:$M$502,1)</f>
        <v/>
      </c>
      <c r="D12" s="26">
        <f>COUNTIFS(Leads!$A$3:$A$502,"&gt;="&amp;$A12,Leads!$A$3:$A$502,"&lt;"&amp;EDATE($A12,1),Leads!$H$3:$H$502,"lost")</f>
        <v/>
      </c>
      <c r="E12" s="46">
        <f>IF(B12=0,"",C12/B12)</f>
        <v/>
      </c>
      <c r="F12" s="35">
        <f>SUMIFS(Leads!$G$3:$G$502,Leads!$A$3:$A$502,"&gt;="&amp;$A12,Leads!$A$3:$A$502,"&lt;"&amp;EDATE($A12,1),Leads!$M$3:$M$502,1)</f>
        <v/>
      </c>
      <c r="G12" s="35">
        <f>SUMIFS(Leads!$J$3:$J$502,Leads!$A$3:$A$502,"&gt;="&amp;$A12,Leads!$A$3:$A$502,"&lt;"&amp;EDATE($A12,1),Leads!$M$3:$M$502,1)</f>
        <v/>
      </c>
    </row>
    <row r="13" ht="15" customHeight="1" s="27">
      <c r="A13" s="45">
        <f>EDATE(A12,1)</f>
        <v/>
      </c>
      <c r="B13" s="26">
        <f>COUNTIFS(Leads!$A$3:$A$502,"&gt;="&amp;$A13,Leads!$A$3:$A$502,"&lt;"&amp;EDATE($A13,1))</f>
        <v/>
      </c>
      <c r="C13" s="26">
        <f>COUNTIFS(Leads!$A$3:$A$502,"&gt;="&amp;$A13,Leads!$A$3:$A$502,"&lt;"&amp;EDATE($A13,1),Leads!$M$3:$M$502,1)</f>
        <v/>
      </c>
      <c r="D13" s="26">
        <f>COUNTIFS(Leads!$A$3:$A$502,"&gt;="&amp;$A13,Leads!$A$3:$A$502,"&lt;"&amp;EDATE($A13,1),Leads!$H$3:$H$502,"lost")</f>
        <v/>
      </c>
      <c r="E13" s="46">
        <f>IF(B13=0,"",C13/B13)</f>
        <v/>
      </c>
      <c r="F13" s="35">
        <f>SUMIFS(Leads!$G$3:$G$502,Leads!$A$3:$A$502,"&gt;="&amp;$A13,Leads!$A$3:$A$502,"&lt;"&amp;EDATE($A13,1),Leads!$M$3:$M$502,1)</f>
        <v/>
      </c>
      <c r="G13" s="35">
        <f>SUMIFS(Leads!$J$3:$J$502,Leads!$A$3:$A$502,"&gt;="&amp;$A13,Leads!$A$3:$A$502,"&lt;"&amp;EDATE($A13,1),Leads!$M$3:$M$502,1)</f>
        <v/>
      </c>
    </row>
    <row r="14" ht="15" customHeight="1" s="27">
      <c r="A14" s="45">
        <f>EDATE(A13,1)</f>
        <v/>
      </c>
      <c r="B14" s="26">
        <f>COUNTIFS(Leads!$A$3:$A$502,"&gt;="&amp;$A14,Leads!$A$3:$A$502,"&lt;"&amp;EDATE($A14,1))</f>
        <v/>
      </c>
      <c r="C14" s="26">
        <f>COUNTIFS(Leads!$A$3:$A$502,"&gt;="&amp;$A14,Leads!$A$3:$A$502,"&lt;"&amp;EDATE($A14,1),Leads!$M$3:$M$502,1)</f>
        <v/>
      </c>
      <c r="D14" s="26">
        <f>COUNTIFS(Leads!$A$3:$A$502,"&gt;="&amp;$A14,Leads!$A$3:$A$502,"&lt;"&amp;EDATE($A14,1),Leads!$H$3:$H$502,"lost")</f>
        <v/>
      </c>
      <c r="E14" s="46">
        <f>IF(B14=0,"",C14/B14)</f>
        <v/>
      </c>
      <c r="F14" s="35">
        <f>SUMIFS(Leads!$G$3:$G$502,Leads!$A$3:$A$502,"&gt;="&amp;$A14,Leads!$A$3:$A$502,"&lt;"&amp;EDATE($A14,1),Leads!$M$3:$M$502,1)</f>
        <v/>
      </c>
      <c r="G14" s="35">
        <f>SUMIFS(Leads!$J$3:$J$502,Leads!$A$3:$A$502,"&gt;="&amp;$A14,Leads!$A$3:$A$502,"&lt;"&amp;EDATE($A14,1),Leads!$M$3:$M$502,1)</f>
        <v/>
      </c>
    </row>
    <row r="15" ht="15" customHeight="1" s="27">
      <c r="A15" s="45">
        <f>EDATE(A14,1)</f>
        <v/>
      </c>
      <c r="B15" s="26">
        <f>COUNTIFS(Leads!$A$3:$A$502,"&gt;="&amp;$A15,Leads!$A$3:$A$502,"&lt;"&amp;EDATE($A15,1))</f>
        <v/>
      </c>
      <c r="C15" s="26">
        <f>COUNTIFS(Leads!$A$3:$A$502,"&gt;="&amp;$A15,Leads!$A$3:$A$502,"&lt;"&amp;EDATE($A15,1),Leads!$M$3:$M$502,1)</f>
        <v/>
      </c>
      <c r="D15" s="26">
        <f>COUNTIFS(Leads!$A$3:$A$502,"&gt;="&amp;$A15,Leads!$A$3:$A$502,"&lt;"&amp;EDATE($A15,1),Leads!$H$3:$H$502,"lost")</f>
        <v/>
      </c>
      <c r="E15" s="46">
        <f>IF(B15=0,"",C15/B15)</f>
        <v/>
      </c>
      <c r="F15" s="35">
        <f>SUMIFS(Leads!$G$3:$G$502,Leads!$A$3:$A$502,"&gt;="&amp;$A15,Leads!$A$3:$A$502,"&lt;"&amp;EDATE($A15,1),Leads!$M$3:$M$502,1)</f>
        <v/>
      </c>
      <c r="G15" s="35">
        <f>SUMIFS(Leads!$J$3:$J$502,Leads!$A$3:$A$502,"&gt;="&amp;$A15,Leads!$A$3:$A$502,"&lt;"&amp;EDATE($A15,1),Leads!$M$3:$M$502,1)</f>
        <v/>
      </c>
    </row>
    <row r="16" ht="15" customHeight="1" s="27">
      <c r="A16" s="45">
        <f>EDATE(A15,1)</f>
        <v/>
      </c>
      <c r="B16" s="26">
        <f>COUNTIFS(Leads!$A$3:$A$502,"&gt;="&amp;$A16,Leads!$A$3:$A$502,"&lt;"&amp;EDATE($A16,1))</f>
        <v/>
      </c>
      <c r="C16" s="26">
        <f>COUNTIFS(Leads!$A$3:$A$502,"&gt;="&amp;$A16,Leads!$A$3:$A$502,"&lt;"&amp;EDATE($A16,1),Leads!$M$3:$M$502,1)</f>
        <v/>
      </c>
      <c r="D16" s="26">
        <f>COUNTIFS(Leads!$A$3:$A$502,"&gt;="&amp;$A16,Leads!$A$3:$A$502,"&lt;"&amp;EDATE($A16,1),Leads!$H$3:$H$502,"lost")</f>
        <v/>
      </c>
      <c r="E16" s="46">
        <f>IF(B16=0,"",C16/B16)</f>
        <v/>
      </c>
      <c r="F16" s="35">
        <f>SUMIFS(Leads!$G$3:$G$502,Leads!$A$3:$A$502,"&gt;="&amp;$A16,Leads!$A$3:$A$502,"&lt;"&amp;EDATE($A16,1),Leads!$M$3:$M$502,1)</f>
        <v/>
      </c>
      <c r="G16" s="35">
        <f>SUMIFS(Leads!$J$3:$J$502,Leads!$A$3:$A$502,"&gt;="&amp;$A16,Leads!$A$3:$A$502,"&lt;"&amp;EDATE($A16,1),Leads!$M$3:$M$502,1)</f>
        <v/>
      </c>
    </row>
    <row r="17" ht="15" customHeight="1" s="27">
      <c r="A17" s="45">
        <f>EDATE(A16,1)</f>
        <v/>
      </c>
      <c r="B17" s="26">
        <f>COUNTIFS(Leads!$A$3:$A$502,"&gt;="&amp;$A17,Leads!$A$3:$A$502,"&lt;"&amp;EDATE($A17,1))</f>
        <v/>
      </c>
      <c r="C17" s="26">
        <f>COUNTIFS(Leads!$A$3:$A$502,"&gt;="&amp;$A17,Leads!$A$3:$A$502,"&lt;"&amp;EDATE($A17,1),Leads!$M$3:$M$502,1)</f>
        <v/>
      </c>
      <c r="D17" s="26">
        <f>COUNTIFS(Leads!$A$3:$A$502,"&gt;="&amp;$A17,Leads!$A$3:$A$502,"&lt;"&amp;EDATE($A17,1),Leads!$H$3:$H$502,"lost")</f>
        <v/>
      </c>
      <c r="E17" s="46">
        <f>IF(B17=0,"",C17/B17)</f>
        <v/>
      </c>
      <c r="F17" s="35">
        <f>SUMIFS(Leads!$G$3:$G$502,Leads!$A$3:$A$502,"&gt;="&amp;$A17,Leads!$A$3:$A$502,"&lt;"&amp;EDATE($A17,1),Leads!$M$3:$M$502,1)</f>
        <v/>
      </c>
      <c r="G17" s="35">
        <f>SUMIFS(Leads!$J$3:$J$502,Leads!$A$3:$A$502,"&gt;="&amp;$A17,Leads!$A$3:$A$502,"&lt;"&amp;EDATE($A17,1),Leads!$M$3:$M$502,1)</f>
        <v/>
      </c>
    </row>
    <row r="18" ht="15" customHeight="1" s="27">
      <c r="A18" s="45">
        <f>EDATE(A17,1)</f>
        <v/>
      </c>
      <c r="B18" s="26">
        <f>COUNTIFS(Leads!$A$3:$A$502,"&gt;="&amp;$A18,Leads!$A$3:$A$502,"&lt;"&amp;EDATE($A18,1))</f>
        <v/>
      </c>
      <c r="C18" s="26">
        <f>COUNTIFS(Leads!$A$3:$A$502,"&gt;="&amp;$A18,Leads!$A$3:$A$502,"&lt;"&amp;EDATE($A18,1),Leads!$M$3:$M$502,1)</f>
        <v/>
      </c>
      <c r="D18" s="26">
        <f>COUNTIFS(Leads!$A$3:$A$502,"&gt;="&amp;$A18,Leads!$A$3:$A$502,"&lt;"&amp;EDATE($A18,1),Leads!$H$3:$H$502,"lost")</f>
        <v/>
      </c>
      <c r="E18" s="46">
        <f>IF(B18=0,"",C18/B18)</f>
        <v/>
      </c>
      <c r="F18" s="35">
        <f>SUMIFS(Leads!$G$3:$G$502,Leads!$A$3:$A$502,"&gt;="&amp;$A18,Leads!$A$3:$A$502,"&lt;"&amp;EDATE($A18,1),Leads!$M$3:$M$502,1)</f>
        <v/>
      </c>
      <c r="G18" s="35">
        <f>SUMIFS(Leads!$J$3:$J$502,Leads!$A$3:$A$502,"&gt;="&amp;$A18,Leads!$A$3:$A$502,"&lt;"&amp;EDATE($A18,1),Leads!$M$3:$M$502,1)</f>
        <v/>
      </c>
    </row>
    <row r="19" ht="15" customHeight="1" s="27">
      <c r="A19" s="45">
        <f>EDATE(A18,1)</f>
        <v/>
      </c>
      <c r="B19" s="26">
        <f>COUNTIFS(Leads!$A$3:$A$502,"&gt;="&amp;$A19,Leads!$A$3:$A$502,"&lt;"&amp;EDATE($A19,1))</f>
        <v/>
      </c>
      <c r="C19" s="26">
        <f>COUNTIFS(Leads!$A$3:$A$502,"&gt;="&amp;$A19,Leads!$A$3:$A$502,"&lt;"&amp;EDATE($A19,1),Leads!$M$3:$M$502,1)</f>
        <v/>
      </c>
      <c r="D19" s="26">
        <f>COUNTIFS(Leads!$A$3:$A$502,"&gt;="&amp;$A19,Leads!$A$3:$A$502,"&lt;"&amp;EDATE($A19,1),Leads!$H$3:$H$502,"lost")</f>
        <v/>
      </c>
      <c r="E19" s="46">
        <f>IF(B19=0,"",C19/B19)</f>
        <v/>
      </c>
      <c r="F19" s="35">
        <f>SUMIFS(Leads!$G$3:$G$502,Leads!$A$3:$A$502,"&gt;="&amp;$A19,Leads!$A$3:$A$502,"&lt;"&amp;EDATE($A19,1),Leads!$M$3:$M$502,1)</f>
        <v/>
      </c>
      <c r="G19" s="35">
        <f>SUMIFS(Leads!$J$3:$J$502,Leads!$A$3:$A$502,"&gt;="&amp;$A19,Leads!$A$3:$A$502,"&lt;"&amp;EDATE($A19,1),Leads!$M$3:$M$502,1)</f>
        <v/>
      </c>
    </row>
    <row r="20" ht="15" customHeight="1" s="27">
      <c r="A20" s="45">
        <f>EDATE(A19,1)</f>
        <v/>
      </c>
      <c r="B20" s="26">
        <f>COUNTIFS(Leads!$A$3:$A$502,"&gt;="&amp;$A20,Leads!$A$3:$A$502,"&lt;"&amp;EDATE($A20,1))</f>
        <v/>
      </c>
      <c r="C20" s="26">
        <f>COUNTIFS(Leads!$A$3:$A$502,"&gt;="&amp;$A20,Leads!$A$3:$A$502,"&lt;"&amp;EDATE($A20,1),Leads!$M$3:$M$502,1)</f>
        <v/>
      </c>
      <c r="D20" s="26">
        <f>COUNTIFS(Leads!$A$3:$A$502,"&gt;="&amp;$A20,Leads!$A$3:$A$502,"&lt;"&amp;EDATE($A20,1),Leads!$H$3:$H$502,"lost")</f>
        <v/>
      </c>
      <c r="E20" s="46">
        <f>IF(B20=0,"",C20/B20)</f>
        <v/>
      </c>
      <c r="F20" s="35">
        <f>SUMIFS(Leads!$G$3:$G$502,Leads!$A$3:$A$502,"&gt;="&amp;$A20,Leads!$A$3:$A$502,"&lt;"&amp;EDATE($A20,1),Leads!$M$3:$M$502,1)</f>
        <v/>
      </c>
      <c r="G20" s="35">
        <f>SUMIFS(Leads!$J$3:$J$502,Leads!$A$3:$A$502,"&gt;="&amp;$A20,Leads!$A$3:$A$502,"&lt;"&amp;EDATE($A20,1),Leads!$M$3:$M$502,1)</f>
        <v/>
      </c>
    </row>
    <row r="21" ht="15" customHeight="1" s="27">
      <c r="A21" s="45">
        <f>EDATE(A20,1)</f>
        <v/>
      </c>
      <c r="B21" s="26">
        <f>COUNTIFS(Leads!$A$3:$A$502,"&gt;="&amp;$A21,Leads!$A$3:$A$502,"&lt;"&amp;EDATE($A21,1))</f>
        <v/>
      </c>
      <c r="C21" s="26">
        <f>COUNTIFS(Leads!$A$3:$A$502,"&gt;="&amp;$A21,Leads!$A$3:$A$502,"&lt;"&amp;EDATE($A21,1),Leads!$M$3:$M$502,1)</f>
        <v/>
      </c>
      <c r="D21" s="26">
        <f>COUNTIFS(Leads!$A$3:$A$502,"&gt;="&amp;$A21,Leads!$A$3:$A$502,"&lt;"&amp;EDATE($A21,1),Leads!$H$3:$H$502,"lost")</f>
        <v/>
      </c>
      <c r="E21" s="46">
        <f>IF(B21=0,"",C21/B21)</f>
        <v/>
      </c>
      <c r="F21" s="35">
        <f>SUMIFS(Leads!$G$3:$G$502,Leads!$A$3:$A$502,"&gt;="&amp;$A21,Leads!$A$3:$A$502,"&lt;"&amp;EDATE($A21,1),Leads!$M$3:$M$502,1)</f>
        <v/>
      </c>
      <c r="G21" s="35">
        <f>SUMIFS(Leads!$J$3:$J$502,Leads!$A$3:$A$502,"&gt;="&amp;$A21,Leads!$A$3:$A$502,"&lt;"&amp;EDATE($A21,1),Leads!$M$3:$M$502,1)</f>
        <v/>
      </c>
    </row>
    <row r="22" ht="15" customHeight="1" s="27">
      <c r="A22" s="45">
        <f>EDATE(A21,1)</f>
        <v/>
      </c>
      <c r="B22" s="26">
        <f>COUNTIFS(Leads!$A$3:$A$502,"&gt;="&amp;$A22,Leads!$A$3:$A$502,"&lt;"&amp;EDATE($A22,1))</f>
        <v/>
      </c>
      <c r="C22" s="26">
        <f>COUNTIFS(Leads!$A$3:$A$502,"&gt;="&amp;$A22,Leads!$A$3:$A$502,"&lt;"&amp;EDATE($A22,1),Leads!$M$3:$M$502,1)</f>
        <v/>
      </c>
      <c r="D22" s="26">
        <f>COUNTIFS(Leads!$A$3:$A$502,"&gt;="&amp;$A22,Leads!$A$3:$A$502,"&lt;"&amp;EDATE($A22,1),Leads!$H$3:$H$502,"lost")</f>
        <v/>
      </c>
      <c r="E22" s="46">
        <f>IF(B22=0,"",C22/B22)</f>
        <v/>
      </c>
      <c r="F22" s="35">
        <f>SUMIFS(Leads!$G$3:$G$502,Leads!$A$3:$A$502,"&gt;="&amp;$A22,Leads!$A$3:$A$502,"&lt;"&amp;EDATE($A22,1),Leads!$M$3:$M$502,1)</f>
        <v/>
      </c>
      <c r="G22" s="35">
        <f>SUMIFS(Leads!$J$3:$J$502,Leads!$A$3:$A$502,"&gt;="&amp;$A22,Leads!$A$3:$A$502,"&lt;"&amp;EDATE($A22,1),Leads!$M$3:$M$502,1)</f>
        <v/>
      </c>
    </row>
    <row r="23" ht="15" customHeight="1" s="27">
      <c r="A23" s="45">
        <f>EDATE(A22,1)</f>
        <v/>
      </c>
      <c r="B23" s="26">
        <f>COUNTIFS(Leads!$A$3:$A$502,"&gt;="&amp;$A23,Leads!$A$3:$A$502,"&lt;"&amp;EDATE($A23,1))</f>
        <v/>
      </c>
      <c r="C23" s="26">
        <f>COUNTIFS(Leads!$A$3:$A$502,"&gt;="&amp;$A23,Leads!$A$3:$A$502,"&lt;"&amp;EDATE($A23,1),Leads!$M$3:$M$502,1)</f>
        <v/>
      </c>
      <c r="D23" s="26">
        <f>COUNTIFS(Leads!$A$3:$A$502,"&gt;="&amp;$A23,Leads!$A$3:$A$502,"&lt;"&amp;EDATE($A23,1),Leads!$H$3:$H$502,"lost")</f>
        <v/>
      </c>
      <c r="E23" s="46">
        <f>IF(B23=0,"",C23/B23)</f>
        <v/>
      </c>
      <c r="F23" s="35">
        <f>SUMIFS(Leads!$G$3:$G$502,Leads!$A$3:$A$502,"&gt;="&amp;$A23,Leads!$A$3:$A$502,"&lt;"&amp;EDATE($A23,1),Leads!$M$3:$M$502,1)</f>
        <v/>
      </c>
      <c r="G23" s="35">
        <f>SUMIFS(Leads!$J$3:$J$502,Leads!$A$3:$A$502,"&gt;="&amp;$A23,Leads!$A$3:$A$502,"&lt;"&amp;EDATE($A23,1),Leads!$M$3:$M$502,1)</f>
        <v/>
      </c>
    </row>
    <row r="24" ht="15" customHeight="1" s="27">
      <c r="A24" s="45">
        <f>EDATE(A23,1)</f>
        <v/>
      </c>
      <c r="B24" s="26">
        <f>COUNTIFS(Leads!$A$3:$A$502,"&gt;="&amp;$A24,Leads!$A$3:$A$502,"&lt;"&amp;EDATE($A24,1))</f>
        <v/>
      </c>
      <c r="C24" s="26">
        <f>COUNTIFS(Leads!$A$3:$A$502,"&gt;="&amp;$A24,Leads!$A$3:$A$502,"&lt;"&amp;EDATE($A24,1),Leads!$M$3:$M$502,1)</f>
        <v/>
      </c>
      <c r="D24" s="26">
        <f>COUNTIFS(Leads!$A$3:$A$502,"&gt;="&amp;$A24,Leads!$A$3:$A$502,"&lt;"&amp;EDATE($A24,1),Leads!$H$3:$H$502,"lost")</f>
        <v/>
      </c>
      <c r="E24" s="46">
        <f>IF(B24=0,"",C24/B24)</f>
        <v/>
      </c>
      <c r="F24" s="35">
        <f>SUMIFS(Leads!$G$3:$G$502,Leads!$A$3:$A$502,"&gt;="&amp;$A24,Leads!$A$3:$A$502,"&lt;"&amp;EDATE($A24,1),Leads!$M$3:$M$502,1)</f>
        <v/>
      </c>
      <c r="G24" s="35">
        <f>SUMIFS(Leads!$J$3:$J$502,Leads!$A$3:$A$502,"&gt;="&amp;$A24,Leads!$A$3:$A$502,"&lt;"&amp;EDATE($A24,1),Leads!$M$3:$M$502,1)</f>
        <v/>
      </c>
    </row>
    <row r="25" ht="15" customHeight="1" s="27">
      <c r="A25" s="45">
        <f>EDATE(A24,1)</f>
        <v/>
      </c>
      <c r="B25" s="26">
        <f>COUNTIFS(Leads!$A$3:$A$502,"&gt;="&amp;$A25,Leads!$A$3:$A$502,"&lt;"&amp;EDATE($A25,1))</f>
        <v/>
      </c>
      <c r="C25" s="26">
        <f>COUNTIFS(Leads!$A$3:$A$502,"&gt;="&amp;$A25,Leads!$A$3:$A$502,"&lt;"&amp;EDATE($A25,1),Leads!$M$3:$M$502,1)</f>
        <v/>
      </c>
      <c r="D25" s="26">
        <f>COUNTIFS(Leads!$A$3:$A$502,"&gt;="&amp;$A25,Leads!$A$3:$A$502,"&lt;"&amp;EDATE($A25,1),Leads!$H$3:$H$502,"lost")</f>
        <v/>
      </c>
      <c r="E25" s="46">
        <f>IF(B25=0,"",C25/B25)</f>
        <v/>
      </c>
      <c r="F25" s="35">
        <f>SUMIFS(Leads!$G$3:$G$502,Leads!$A$3:$A$502,"&gt;="&amp;$A25,Leads!$A$3:$A$502,"&lt;"&amp;EDATE($A25,1),Leads!$M$3:$M$502,1)</f>
        <v/>
      </c>
      <c r="G25" s="35">
        <f>SUMIFS(Leads!$J$3:$J$502,Leads!$A$3:$A$502,"&gt;="&amp;$A25,Leads!$A$3:$A$502,"&lt;"&amp;EDATE($A25,1),Leads!$M$3:$M$502,1)</f>
        <v/>
      </c>
    </row>
    <row r="26" ht="15" customHeight="1" s="27">
      <c r="A26" s="45">
        <f>EDATE(A25,1)</f>
        <v/>
      </c>
      <c r="B26" s="26">
        <f>COUNTIFS(Leads!$A$3:$A$502,"&gt;="&amp;$A26,Leads!$A$3:$A$502,"&lt;"&amp;EDATE($A26,1))</f>
        <v/>
      </c>
      <c r="C26" s="26">
        <f>COUNTIFS(Leads!$A$3:$A$502,"&gt;="&amp;$A26,Leads!$A$3:$A$502,"&lt;"&amp;EDATE($A26,1),Leads!$M$3:$M$502,1)</f>
        <v/>
      </c>
      <c r="D26" s="26">
        <f>COUNTIFS(Leads!$A$3:$A$502,"&gt;="&amp;$A26,Leads!$A$3:$A$502,"&lt;"&amp;EDATE($A26,1),Leads!$H$3:$H$502,"lost")</f>
        <v/>
      </c>
      <c r="E26" s="46">
        <f>IF(B26=0,"",C26/B26)</f>
        <v/>
      </c>
      <c r="F26" s="35">
        <f>SUMIFS(Leads!$G$3:$G$502,Leads!$A$3:$A$502,"&gt;="&amp;$A26,Leads!$A$3:$A$502,"&lt;"&amp;EDATE($A26,1),Leads!$M$3:$M$502,1)</f>
        <v/>
      </c>
      <c r="G26" s="35">
        <f>SUMIFS(Leads!$J$3:$J$502,Leads!$A$3:$A$502,"&gt;="&amp;$A26,Leads!$A$3:$A$502,"&lt;"&amp;EDATE($A26,1),Leads!$M$3:$M$502,1)</f>
        <v/>
      </c>
    </row>
    <row r="27" ht="15" customHeight="1" s="27">
      <c r="A27" s="45">
        <f>EDATE(A26,1)</f>
        <v/>
      </c>
      <c r="B27" s="26">
        <f>COUNTIFS(Leads!$A$3:$A$502,"&gt;="&amp;$A27,Leads!$A$3:$A$502,"&lt;"&amp;EDATE($A27,1))</f>
        <v/>
      </c>
      <c r="C27" s="26">
        <f>COUNTIFS(Leads!$A$3:$A$502,"&gt;="&amp;$A27,Leads!$A$3:$A$502,"&lt;"&amp;EDATE($A27,1),Leads!$M$3:$M$502,1)</f>
        <v/>
      </c>
      <c r="D27" s="26">
        <f>COUNTIFS(Leads!$A$3:$A$502,"&gt;="&amp;$A27,Leads!$A$3:$A$502,"&lt;"&amp;EDATE($A27,1),Leads!$H$3:$H$502,"lost")</f>
        <v/>
      </c>
      <c r="E27" s="46">
        <f>IF(B27=0,"",C27/B27)</f>
        <v/>
      </c>
      <c r="F27" s="35">
        <f>SUMIFS(Leads!$G$3:$G$502,Leads!$A$3:$A$502,"&gt;="&amp;$A27,Leads!$A$3:$A$502,"&lt;"&amp;EDATE($A27,1),Leads!$M$3:$M$502,1)</f>
        <v/>
      </c>
      <c r="G27" s="35">
        <f>SUMIFS(Leads!$J$3:$J$502,Leads!$A$3:$A$502,"&gt;="&amp;$A27,Leads!$A$3:$A$502,"&lt;"&amp;EDATE($A27,1),Leads!$M$3:$M$502,1)</f>
        <v/>
      </c>
    </row>
    <row r="28" ht="15" customHeight="1" s="27">
      <c r="A28" s="45">
        <f>EDATE(A27,1)</f>
        <v/>
      </c>
      <c r="B28" s="26">
        <f>COUNTIFS(Leads!$A$3:$A$502,"&gt;="&amp;$A28,Leads!$A$3:$A$502,"&lt;"&amp;EDATE($A28,1))</f>
        <v/>
      </c>
      <c r="C28" s="26">
        <f>COUNTIFS(Leads!$A$3:$A$502,"&gt;="&amp;$A28,Leads!$A$3:$A$502,"&lt;"&amp;EDATE($A28,1),Leads!$M$3:$M$502,1)</f>
        <v/>
      </c>
      <c r="D28" s="26">
        <f>COUNTIFS(Leads!$A$3:$A$502,"&gt;="&amp;$A28,Leads!$A$3:$A$502,"&lt;"&amp;EDATE($A28,1),Leads!$H$3:$H$502,"lost")</f>
        <v/>
      </c>
      <c r="E28" s="46">
        <f>IF(B28=0,"",C28/B28)</f>
        <v/>
      </c>
      <c r="F28" s="35">
        <f>SUMIFS(Leads!$G$3:$G$502,Leads!$A$3:$A$502,"&gt;="&amp;$A28,Leads!$A$3:$A$502,"&lt;"&amp;EDATE($A28,1),Leads!$M$3:$M$502,1)</f>
        <v/>
      </c>
      <c r="G28" s="35">
        <f>SUMIFS(Leads!$J$3:$J$502,Leads!$A$3:$A$502,"&gt;="&amp;$A28,Leads!$A$3:$A$502,"&lt;"&amp;EDATE($A28,1),Leads!$M$3:$M$502,1)</f>
        <v/>
      </c>
    </row>
    <row r="29" ht="15" customHeight="1" s="27">
      <c r="A29" s="45">
        <f>EDATE(A28,1)</f>
        <v/>
      </c>
      <c r="B29" s="26">
        <f>COUNTIFS(Leads!$A$3:$A$502,"&gt;="&amp;$A29,Leads!$A$3:$A$502,"&lt;"&amp;EDATE($A29,1))</f>
        <v/>
      </c>
      <c r="C29" s="26">
        <f>COUNTIFS(Leads!$A$3:$A$502,"&gt;="&amp;$A29,Leads!$A$3:$A$502,"&lt;"&amp;EDATE($A29,1),Leads!$M$3:$M$502,1)</f>
        <v/>
      </c>
      <c r="D29" s="26">
        <f>COUNTIFS(Leads!$A$3:$A$502,"&gt;="&amp;$A29,Leads!$A$3:$A$502,"&lt;"&amp;EDATE($A29,1),Leads!$H$3:$H$502,"lost")</f>
        <v/>
      </c>
      <c r="E29" s="46">
        <f>IF(B29=0,"",C29/B29)</f>
        <v/>
      </c>
      <c r="F29" s="35">
        <f>SUMIFS(Leads!$G$3:$G$502,Leads!$A$3:$A$502,"&gt;="&amp;$A29,Leads!$A$3:$A$502,"&lt;"&amp;EDATE($A29,1),Leads!$M$3:$M$502,1)</f>
        <v/>
      </c>
      <c r="G29" s="35">
        <f>SUMIFS(Leads!$J$3:$J$502,Leads!$A$3:$A$502,"&gt;="&amp;$A29,Leads!$A$3:$A$502,"&lt;"&amp;EDATE($A29,1),Leads!$M$3:$M$502,1)</f>
        <v/>
      </c>
    </row>
    <row r="30" ht="15" customHeight="1" s="27">
      <c r="A30" s="45">
        <f>EDATE(A29,1)</f>
        <v/>
      </c>
      <c r="B30" s="26">
        <f>COUNTIFS(Leads!$A$3:$A$502,"&gt;="&amp;$A30,Leads!$A$3:$A$502,"&lt;"&amp;EDATE($A30,1))</f>
        <v/>
      </c>
      <c r="C30" s="26">
        <f>COUNTIFS(Leads!$A$3:$A$502,"&gt;="&amp;$A30,Leads!$A$3:$A$502,"&lt;"&amp;EDATE($A30,1),Leads!$M$3:$M$502,1)</f>
        <v/>
      </c>
      <c r="D30" s="26">
        <f>COUNTIFS(Leads!$A$3:$A$502,"&gt;="&amp;$A30,Leads!$A$3:$A$502,"&lt;"&amp;EDATE($A30,1),Leads!$H$3:$H$502,"lost")</f>
        <v/>
      </c>
      <c r="E30" s="46">
        <f>IF(B30=0,"",C30/B30)</f>
        <v/>
      </c>
      <c r="F30" s="35">
        <f>SUMIFS(Leads!$G$3:$G$502,Leads!$A$3:$A$502,"&gt;="&amp;$A30,Leads!$A$3:$A$502,"&lt;"&amp;EDATE($A30,1),Leads!$M$3:$M$502,1)</f>
        <v/>
      </c>
      <c r="G30" s="35">
        <f>SUMIFS(Leads!$J$3:$J$502,Leads!$A$3:$A$502,"&gt;="&amp;$A30,Leads!$A$3:$A$502,"&lt;"&amp;EDATE($A30,1),Leads!$M$3:$M$502,1)</f>
        <v/>
      </c>
    </row>
    <row r="31" ht="15" customHeight="1" s="27">
      <c r="A31" s="45">
        <f>EDATE(A30,1)</f>
        <v/>
      </c>
      <c r="B31" s="26">
        <f>COUNTIFS(Leads!$A$3:$A$502,"&gt;="&amp;$A31,Leads!$A$3:$A$502,"&lt;"&amp;EDATE($A31,1))</f>
        <v/>
      </c>
      <c r="C31" s="26">
        <f>COUNTIFS(Leads!$A$3:$A$502,"&gt;="&amp;$A31,Leads!$A$3:$A$502,"&lt;"&amp;EDATE($A31,1),Leads!$M$3:$M$502,1)</f>
        <v/>
      </c>
      <c r="D31" s="26">
        <f>COUNTIFS(Leads!$A$3:$A$502,"&gt;="&amp;$A31,Leads!$A$3:$A$502,"&lt;"&amp;EDATE($A31,1),Leads!$H$3:$H$502,"lost")</f>
        <v/>
      </c>
      <c r="E31" s="46">
        <f>IF(B31=0,"",C31/B31)</f>
        <v/>
      </c>
      <c r="F31" s="35">
        <f>SUMIFS(Leads!$G$3:$G$502,Leads!$A$3:$A$502,"&gt;="&amp;$A31,Leads!$A$3:$A$502,"&lt;"&amp;EDATE($A31,1),Leads!$M$3:$M$502,1)</f>
        <v/>
      </c>
      <c r="G31" s="35">
        <f>SUMIFS(Leads!$J$3:$J$502,Leads!$A$3:$A$502,"&gt;="&amp;$A31,Leads!$A$3:$A$502,"&lt;"&amp;EDATE($A31,1),Leads!$M$3:$M$502,1)</f>
        <v/>
      </c>
    </row>
    <row r="32" ht="15" customHeight="1" s="27">
      <c r="A32" s="45">
        <f>EDATE(A31,1)</f>
        <v/>
      </c>
      <c r="B32" s="26">
        <f>COUNTIFS(Leads!$A$3:$A$502,"&gt;="&amp;$A32,Leads!$A$3:$A$502,"&lt;"&amp;EDATE($A32,1))</f>
        <v/>
      </c>
      <c r="C32" s="26">
        <f>COUNTIFS(Leads!$A$3:$A$502,"&gt;="&amp;$A32,Leads!$A$3:$A$502,"&lt;"&amp;EDATE($A32,1),Leads!$M$3:$M$502,1)</f>
        <v/>
      </c>
      <c r="D32" s="26">
        <f>COUNTIFS(Leads!$A$3:$A$502,"&gt;="&amp;$A32,Leads!$A$3:$A$502,"&lt;"&amp;EDATE($A32,1),Leads!$H$3:$H$502,"lost")</f>
        <v/>
      </c>
      <c r="E32" s="46">
        <f>IF(B32=0,"",C32/B32)</f>
        <v/>
      </c>
      <c r="F32" s="35">
        <f>SUMIFS(Leads!$G$3:$G$502,Leads!$A$3:$A$502,"&gt;="&amp;$A32,Leads!$A$3:$A$502,"&lt;"&amp;EDATE($A32,1),Leads!$M$3:$M$502,1)</f>
        <v/>
      </c>
      <c r="G32" s="35">
        <f>SUMIFS(Leads!$J$3:$J$502,Leads!$A$3:$A$502,"&gt;="&amp;$A32,Leads!$A$3:$A$502,"&lt;"&amp;EDATE($A32,1),Leads!$M$3:$M$502,1)</f>
        <v/>
      </c>
    </row>
    <row r="33" ht="15" customHeight="1" s="27">
      <c r="A33" s="45">
        <f>EDATE(A32,1)</f>
        <v/>
      </c>
      <c r="B33" s="26">
        <f>COUNTIFS(Leads!$A$3:$A$502,"&gt;="&amp;$A33,Leads!$A$3:$A$502,"&lt;"&amp;EDATE($A33,1))</f>
        <v/>
      </c>
      <c r="C33" s="26">
        <f>COUNTIFS(Leads!$A$3:$A$502,"&gt;="&amp;$A33,Leads!$A$3:$A$502,"&lt;"&amp;EDATE($A33,1),Leads!$M$3:$M$502,1)</f>
        <v/>
      </c>
      <c r="D33" s="26">
        <f>COUNTIFS(Leads!$A$3:$A$502,"&gt;="&amp;$A33,Leads!$A$3:$A$502,"&lt;"&amp;EDATE($A33,1),Leads!$H$3:$H$502,"lost")</f>
        <v/>
      </c>
      <c r="E33" s="46">
        <f>IF(B33=0,"",C33/B33)</f>
        <v/>
      </c>
      <c r="F33" s="35">
        <f>SUMIFS(Leads!$G$3:$G$502,Leads!$A$3:$A$502,"&gt;="&amp;$A33,Leads!$A$3:$A$502,"&lt;"&amp;EDATE($A33,1),Leads!$M$3:$M$502,1)</f>
        <v/>
      </c>
      <c r="G33" s="35">
        <f>SUMIFS(Leads!$J$3:$J$502,Leads!$A$3:$A$502,"&gt;="&amp;$A33,Leads!$A$3:$A$502,"&lt;"&amp;EDATE($A33,1),Leads!$M$3:$M$502,1)</f>
        <v/>
      </c>
    </row>
    <row r="34" ht="15" customHeight="1" s="27">
      <c r="A34" s="47" t="inlineStr">
        <is>
          <t>All months</t>
        </is>
      </c>
      <c r="B34" s="47">
        <f>SUM(B10:B33)</f>
        <v/>
      </c>
      <c r="C34" s="47">
        <f>SUM(C10:C33)</f>
        <v/>
      </c>
      <c r="D34" s="47">
        <f>SUM(D10:D33)</f>
        <v/>
      </c>
      <c r="E34" s="48">
        <f>IF(B34=0,"",C34/B34)</f>
        <v/>
      </c>
      <c r="F34" s="49">
        <f>SUM(F10:F33)</f>
        <v/>
      </c>
      <c r="G34" s="49">
        <f>SUM(G10:G33)</f>
        <v/>
      </c>
    </row>
    <row r="37" ht="15" customHeight="1" s="27">
      <c r="A37" s="37" t="inlineStr">
        <is>
          <t>By source code — selected month</t>
        </is>
      </c>
    </row>
    <row r="38" ht="15" customHeight="1" s="27">
      <c r="A38" s="42" t="inlineStr">
        <is>
          <t>Report month:</t>
        </is>
      </c>
      <c r="B38" s="43" t="n">
        <v>46266</v>
      </c>
    </row>
    <row r="39" ht="15" customHeight="1" s="27">
      <c r="A39" s="32" t="inlineStr">
        <is>
          <t>Source</t>
        </is>
      </c>
      <c r="B39" s="32" t="inlineStr">
        <is>
          <t>Leads</t>
        </is>
      </c>
      <c r="C39" s="32" t="inlineStr">
        <is>
          <t>Won</t>
        </is>
      </c>
      <c r="D39" s="32" t="inlineStr">
        <is>
          <t>Conversion %</t>
        </is>
      </c>
      <c r="E39" s="32" t="inlineStr">
        <is>
          <t>Revenue</t>
        </is>
      </c>
      <c r="F39" s="32" t="inlineStr">
        <is>
          <t>Commission Owed</t>
        </is>
      </c>
    </row>
    <row r="40" ht="15" customHeight="1" s="27">
      <c r="A40" s="26" t="inlineStr">
        <is>
          <t>WEB-GC</t>
        </is>
      </c>
      <c r="B40" s="26">
        <f>COUNTIFS(Leads!$A$3:$A$502,"&gt;="&amp;$B$38,Leads!$A$3:$A$502,"&lt;"&amp;EDATE($B$38,1),Leads!$D$3:$D$502,$A40)</f>
        <v/>
      </c>
      <c r="C40" s="26">
        <f>COUNTIFS(Leads!$A$3:$A$502,"&gt;="&amp;$B$38,Leads!$A$3:$A$502,"&lt;"&amp;EDATE($B$38,1),Leads!$D$3:$D$502,$A40,Leads!$M$3:$M$502,1)</f>
        <v/>
      </c>
      <c r="D40" s="46">
        <f>IF(B40=0,"",C40/B40)</f>
        <v/>
      </c>
      <c r="E40" s="35">
        <f>SUMIFS(Leads!$G$3:$G$502,Leads!$A$3:$A$502,"&gt;="&amp;$B$38,Leads!$A$3:$A$502,"&lt;"&amp;EDATE($B$38,1),Leads!$D$3:$D$502,$A40,Leads!$M$3:$M$502,1)</f>
        <v/>
      </c>
      <c r="F40" s="35">
        <f>SUMIFS(Leads!$J$3:$J$502,Leads!$A$3:$A$502,"&gt;="&amp;$B$38,Leads!$A$3:$A$502,"&lt;"&amp;EDATE($B$38,1),Leads!$D$3:$D$502,$A40,Leads!$M$3:$M$502,1)</f>
        <v/>
      </c>
    </row>
    <row r="41" ht="15" customHeight="1" s="27">
      <c r="A41" s="26" t="inlineStr">
        <is>
          <t>WEB-OSHC</t>
        </is>
      </c>
      <c r="B41" s="26">
        <f>COUNTIFS(Leads!$A$3:$A$502,"&gt;="&amp;$B$38,Leads!$A$3:$A$502,"&lt;"&amp;EDATE($B$38,1),Leads!$D$3:$D$502,$A41)</f>
        <v/>
      </c>
      <c r="C41" s="26">
        <f>COUNTIFS(Leads!$A$3:$A$502,"&gt;="&amp;$B$38,Leads!$A$3:$A$502,"&lt;"&amp;EDATE($B$38,1),Leads!$D$3:$D$502,$A41,Leads!$M$3:$M$502,1)</f>
        <v/>
      </c>
      <c r="D41" s="46">
        <f>IF(B41=0,"",C41/B41)</f>
        <v/>
      </c>
      <c r="E41" s="35">
        <f>SUMIFS(Leads!$G$3:$G$502,Leads!$A$3:$A$502,"&gt;="&amp;$B$38,Leads!$A$3:$A$502,"&lt;"&amp;EDATE($B$38,1),Leads!$D$3:$D$502,$A41,Leads!$M$3:$M$502,1)</f>
        <v/>
      </c>
      <c r="F41" s="35">
        <f>SUMIFS(Leads!$J$3:$J$502,Leads!$A$3:$A$502,"&gt;="&amp;$B$38,Leads!$A$3:$A$502,"&lt;"&amp;EDATE($B$38,1),Leads!$D$3:$D$502,$A41,Leads!$M$3:$M$502,1)</f>
        <v/>
      </c>
    </row>
    <row r="42" ht="15" customHeight="1" s="27">
      <c r="A42" s="26" t="inlineStr">
        <is>
          <t>WEB-HRD</t>
        </is>
      </c>
      <c r="B42" s="26">
        <f>COUNTIFS(Leads!$A$3:$A$502,"&gt;="&amp;$B$38,Leads!$A$3:$A$502,"&lt;"&amp;EDATE($B$38,1),Leads!$D$3:$D$502,$A42)</f>
        <v/>
      </c>
      <c r="C42" s="26">
        <f>COUNTIFS(Leads!$A$3:$A$502,"&gt;="&amp;$B$38,Leads!$A$3:$A$502,"&lt;"&amp;EDATE($B$38,1),Leads!$D$3:$D$502,$A42,Leads!$M$3:$M$502,1)</f>
        <v/>
      </c>
      <c r="D42" s="46">
        <f>IF(B42=0,"",C42/B42)</f>
        <v/>
      </c>
      <c r="E42" s="35">
        <f>SUMIFS(Leads!$G$3:$G$502,Leads!$A$3:$A$502,"&gt;="&amp;$B$38,Leads!$A$3:$A$502,"&lt;"&amp;EDATE($B$38,1),Leads!$D$3:$D$502,$A42,Leads!$M$3:$M$502,1)</f>
        <v/>
      </c>
      <c r="F42" s="35">
        <f>SUMIFS(Leads!$J$3:$J$502,Leads!$A$3:$A$502,"&gt;="&amp;$B$38,Leads!$A$3:$A$502,"&lt;"&amp;EDATE($B$38,1),Leads!$D$3:$D$502,$A42,Leads!$M$3:$M$502,1)</f>
        <v/>
      </c>
    </row>
    <row r="43" ht="15" customHeight="1" s="27">
      <c r="A43" s="26" t="inlineStr">
        <is>
          <t>WEB-FA</t>
        </is>
      </c>
      <c r="B43" s="26">
        <f>COUNTIFS(Leads!$A$3:$A$502,"&gt;="&amp;$B$38,Leads!$A$3:$A$502,"&lt;"&amp;EDATE($B$38,1),Leads!$D$3:$D$502,$A43)</f>
        <v/>
      </c>
      <c r="C43" s="26">
        <f>COUNTIFS(Leads!$A$3:$A$502,"&gt;="&amp;$B$38,Leads!$A$3:$A$502,"&lt;"&amp;EDATE($B$38,1),Leads!$D$3:$D$502,$A43,Leads!$M$3:$M$502,1)</f>
        <v/>
      </c>
      <c r="D43" s="46">
        <f>IF(B43=0,"",C43/B43)</f>
        <v/>
      </c>
      <c r="E43" s="35">
        <f>SUMIFS(Leads!$G$3:$G$502,Leads!$A$3:$A$502,"&gt;="&amp;$B$38,Leads!$A$3:$A$502,"&lt;"&amp;EDATE($B$38,1),Leads!$D$3:$D$502,$A43,Leads!$M$3:$M$502,1)</f>
        <v/>
      </c>
      <c r="F43" s="35">
        <f>SUMIFS(Leads!$J$3:$J$502,Leads!$A$3:$A$502,"&gt;="&amp;$B$38,Leads!$A$3:$A$502,"&lt;"&amp;EDATE($B$38,1),Leads!$D$3:$D$502,$A43,Leads!$M$3:$M$502,1)</f>
        <v/>
      </c>
    </row>
    <row r="44" ht="15" customHeight="1" s="27">
      <c r="A44" s="26" t="inlineStr">
        <is>
          <t>WEB-GEN</t>
        </is>
      </c>
      <c r="B44" s="26">
        <f>COUNTIFS(Leads!$A$3:$A$502,"&gt;="&amp;$B$38,Leads!$A$3:$A$502,"&lt;"&amp;EDATE($B$38,1),Leads!$D$3:$D$502,$A44)</f>
        <v/>
      </c>
      <c r="C44" s="26">
        <f>COUNTIFS(Leads!$A$3:$A$502,"&gt;="&amp;$B$38,Leads!$A$3:$A$502,"&lt;"&amp;EDATE($B$38,1),Leads!$D$3:$D$502,$A44,Leads!$M$3:$M$502,1)</f>
        <v/>
      </c>
      <c r="D44" s="46">
        <f>IF(B44=0,"",C44/B44)</f>
        <v/>
      </c>
      <c r="E44" s="35">
        <f>SUMIFS(Leads!$G$3:$G$502,Leads!$A$3:$A$502,"&gt;="&amp;$B$38,Leads!$A$3:$A$502,"&lt;"&amp;EDATE($B$38,1),Leads!$D$3:$D$502,$A44,Leads!$M$3:$M$502,1)</f>
        <v/>
      </c>
      <c r="F44" s="35">
        <f>SUMIFS(Leads!$J$3:$J$502,Leads!$A$3:$A$502,"&gt;="&amp;$B$38,Leads!$A$3:$A$502,"&lt;"&amp;EDATE($B$38,1),Leads!$D$3:$D$502,$A44,Leads!$M$3:$M$502,1)</f>
        <v/>
      </c>
    </row>
    <row r="45" ht="15" customHeight="1" s="27">
      <c r="A45" s="26" t="inlineStr">
        <is>
          <t>GBP</t>
        </is>
      </c>
      <c r="B45" s="26">
        <f>COUNTIFS(Leads!$A$3:$A$502,"&gt;="&amp;$B$38,Leads!$A$3:$A$502,"&lt;"&amp;EDATE($B$38,1),Leads!$D$3:$D$502,$A45)</f>
        <v/>
      </c>
      <c r="C45" s="26">
        <f>COUNTIFS(Leads!$A$3:$A$502,"&gt;="&amp;$B$38,Leads!$A$3:$A$502,"&lt;"&amp;EDATE($B$38,1),Leads!$D$3:$D$502,$A45,Leads!$M$3:$M$502,1)</f>
        <v/>
      </c>
      <c r="D45" s="46">
        <f>IF(B45=0,"",C45/B45)</f>
        <v/>
      </c>
      <c r="E45" s="35">
        <f>SUMIFS(Leads!$G$3:$G$502,Leads!$A$3:$A$502,"&gt;="&amp;$B$38,Leads!$A$3:$A$502,"&lt;"&amp;EDATE($B$38,1),Leads!$D$3:$D$502,$A45,Leads!$M$3:$M$502,1)</f>
        <v/>
      </c>
      <c r="F45" s="35">
        <f>SUMIFS(Leads!$J$3:$J$502,Leads!$A$3:$A$502,"&gt;="&amp;$B$38,Leads!$A$3:$A$502,"&lt;"&amp;EDATE($B$38,1),Leads!$D$3:$D$502,$A45,Leads!$M$3:$M$502,1)</f>
        <v/>
      </c>
    </row>
    <row r="46" ht="15" customHeight="1" s="27">
      <c r="A46" s="26" t="inlineStr">
        <is>
          <t>ADS</t>
        </is>
      </c>
      <c r="B46" s="26">
        <f>COUNTIFS(Leads!$A$3:$A$502,"&gt;="&amp;$B$38,Leads!$A$3:$A$502,"&lt;"&amp;EDATE($B$38,1),Leads!$D$3:$D$502,$A46)</f>
        <v/>
      </c>
      <c r="C46" s="26">
        <f>COUNTIFS(Leads!$A$3:$A$502,"&gt;="&amp;$B$38,Leads!$A$3:$A$502,"&lt;"&amp;EDATE($B$38,1),Leads!$D$3:$D$502,$A46,Leads!$M$3:$M$502,1)</f>
        <v/>
      </c>
      <c r="D46" s="46">
        <f>IF(B46=0,"",C46/B46)</f>
        <v/>
      </c>
      <c r="E46" s="35">
        <f>SUMIFS(Leads!$G$3:$G$502,Leads!$A$3:$A$502,"&gt;="&amp;$B$38,Leads!$A$3:$A$502,"&lt;"&amp;EDATE($B$38,1),Leads!$D$3:$D$502,$A46,Leads!$M$3:$M$502,1)</f>
        <v/>
      </c>
      <c r="F46" s="35">
        <f>SUMIFS(Leads!$J$3:$J$502,Leads!$A$3:$A$502,"&gt;="&amp;$B$38,Leads!$A$3:$A$502,"&lt;"&amp;EDATE($B$38,1),Leads!$D$3:$D$502,$A46,Leads!$M$3:$M$502,1)</f>
        <v/>
      </c>
    </row>
    <row r="47" ht="15" customHeight="1" s="27">
      <c r="A47" s="47" t="inlineStr">
        <is>
          <t>All sources</t>
        </is>
      </c>
      <c r="B47" s="47">
        <f>SUM(B40:B46)</f>
        <v/>
      </c>
      <c r="C47" s="47">
        <f>SUM(C40:C46)</f>
        <v/>
      </c>
      <c r="D47" s="48">
        <f>IF(B47=0,"",C47/B47)</f>
        <v/>
      </c>
      <c r="E47" s="49">
        <f>SUM(E40:E46)</f>
        <v/>
      </c>
      <c r="F47" s="49">
        <f>SUM(F40:F46)</f>
        <v/>
      </c>
    </row>
    <row r="49" ht="15" customHeight="1" s="27">
      <c r="A49" s="37" t="inlineStr">
        <is>
          <t>By source code — all time</t>
        </is>
      </c>
    </row>
    <row r="50" ht="15" customHeight="1" s="27">
      <c r="A50" s="32" t="inlineStr">
        <is>
          <t>Source</t>
        </is>
      </c>
      <c r="B50" s="32" t="inlineStr">
        <is>
          <t>Leads</t>
        </is>
      </c>
      <c r="C50" s="32" t="inlineStr">
        <is>
          <t>Won</t>
        </is>
      </c>
      <c r="D50" s="32" t="inlineStr">
        <is>
          <t>Conversion %</t>
        </is>
      </c>
      <c r="E50" s="32" t="inlineStr">
        <is>
          <t>Revenue</t>
        </is>
      </c>
      <c r="F50" s="32" t="inlineStr">
        <is>
          <t>Commission Owed</t>
        </is>
      </c>
    </row>
    <row r="51" ht="15" customHeight="1" s="27">
      <c r="A51" s="26" t="inlineStr">
        <is>
          <t>WEB-GC</t>
        </is>
      </c>
      <c r="B51" s="26">
        <f>COUNTIFS(Leads!$D$3:$D$502,$A51)</f>
        <v/>
      </c>
      <c r="C51" s="26">
        <f>COUNTIFS(Leads!$D$3:$D$502,$A51,Leads!$M$3:$M$502,1)</f>
        <v/>
      </c>
      <c r="D51" s="46">
        <f>IF(B51=0,"",C51/B51)</f>
        <v/>
      </c>
      <c r="E51" s="35">
        <f>SUMIFS(Leads!$G$3:$G$502,Leads!$D$3:$D$502,$A51,Leads!$M$3:$M$502,1)</f>
        <v/>
      </c>
      <c r="F51" s="35">
        <f>SUMIFS(Leads!$J$3:$J$502,Leads!$D$3:$D$502,$A51,Leads!$M$3:$M$502,1)</f>
        <v/>
      </c>
    </row>
    <row r="52" ht="15" customHeight="1" s="27">
      <c r="A52" s="26" t="inlineStr">
        <is>
          <t>WEB-OSHC</t>
        </is>
      </c>
      <c r="B52" s="26">
        <f>COUNTIFS(Leads!$D$3:$D$502,$A52)</f>
        <v/>
      </c>
      <c r="C52" s="26">
        <f>COUNTIFS(Leads!$D$3:$D$502,$A52,Leads!$M$3:$M$502,1)</f>
        <v/>
      </c>
      <c r="D52" s="46">
        <f>IF(B52=0,"",C52/B52)</f>
        <v/>
      </c>
      <c r="E52" s="35">
        <f>SUMIFS(Leads!$G$3:$G$502,Leads!$D$3:$D$502,$A52,Leads!$M$3:$M$502,1)</f>
        <v/>
      </c>
      <c r="F52" s="35">
        <f>SUMIFS(Leads!$J$3:$J$502,Leads!$D$3:$D$502,$A52,Leads!$M$3:$M$502,1)</f>
        <v/>
      </c>
    </row>
    <row r="53" ht="15" customHeight="1" s="27">
      <c r="A53" s="26" t="inlineStr">
        <is>
          <t>WEB-HRD</t>
        </is>
      </c>
      <c r="B53" s="26">
        <f>COUNTIFS(Leads!$D$3:$D$502,$A53)</f>
        <v/>
      </c>
      <c r="C53" s="26">
        <f>COUNTIFS(Leads!$D$3:$D$502,$A53,Leads!$M$3:$M$502,1)</f>
        <v/>
      </c>
      <c r="D53" s="46">
        <f>IF(B53=0,"",C53/B53)</f>
        <v/>
      </c>
      <c r="E53" s="35">
        <f>SUMIFS(Leads!$G$3:$G$502,Leads!$D$3:$D$502,$A53,Leads!$M$3:$M$502,1)</f>
        <v/>
      </c>
      <c r="F53" s="35">
        <f>SUMIFS(Leads!$J$3:$J$502,Leads!$D$3:$D$502,$A53,Leads!$M$3:$M$502,1)</f>
        <v/>
      </c>
    </row>
    <row r="54" ht="15" customHeight="1" s="27">
      <c r="A54" s="26" t="inlineStr">
        <is>
          <t>WEB-FA</t>
        </is>
      </c>
      <c r="B54" s="26">
        <f>COUNTIFS(Leads!$D$3:$D$502,$A54)</f>
        <v/>
      </c>
      <c r="C54" s="26">
        <f>COUNTIFS(Leads!$D$3:$D$502,$A54,Leads!$M$3:$M$502,1)</f>
        <v/>
      </c>
      <c r="D54" s="46">
        <f>IF(B54=0,"",C54/B54)</f>
        <v/>
      </c>
      <c r="E54" s="35">
        <f>SUMIFS(Leads!$G$3:$G$502,Leads!$D$3:$D$502,$A54,Leads!$M$3:$M$502,1)</f>
        <v/>
      </c>
      <c r="F54" s="35">
        <f>SUMIFS(Leads!$J$3:$J$502,Leads!$D$3:$D$502,$A54,Leads!$M$3:$M$502,1)</f>
        <v/>
      </c>
    </row>
    <row r="55" ht="15" customHeight="1" s="27">
      <c r="A55" s="26" t="inlineStr">
        <is>
          <t>WEB-GEN</t>
        </is>
      </c>
      <c r="B55" s="26">
        <f>COUNTIFS(Leads!$D$3:$D$502,$A55)</f>
        <v/>
      </c>
      <c r="C55" s="26">
        <f>COUNTIFS(Leads!$D$3:$D$502,$A55,Leads!$M$3:$M$502,1)</f>
        <v/>
      </c>
      <c r="D55" s="46">
        <f>IF(B55=0,"",C55/B55)</f>
        <v/>
      </c>
      <c r="E55" s="35">
        <f>SUMIFS(Leads!$G$3:$G$502,Leads!$D$3:$D$502,$A55,Leads!$M$3:$M$502,1)</f>
        <v/>
      </c>
      <c r="F55" s="35">
        <f>SUMIFS(Leads!$J$3:$J$502,Leads!$D$3:$D$502,$A55,Leads!$M$3:$M$502,1)</f>
        <v/>
      </c>
    </row>
    <row r="56" ht="15" customHeight="1" s="27">
      <c r="A56" s="26" t="inlineStr">
        <is>
          <t>GBP</t>
        </is>
      </c>
      <c r="B56" s="26">
        <f>COUNTIFS(Leads!$D$3:$D$502,$A56)</f>
        <v/>
      </c>
      <c r="C56" s="26">
        <f>COUNTIFS(Leads!$D$3:$D$502,$A56,Leads!$M$3:$M$502,1)</f>
        <v/>
      </c>
      <c r="D56" s="46">
        <f>IF(B56=0,"",C56/B56)</f>
        <v/>
      </c>
      <c r="E56" s="35">
        <f>SUMIFS(Leads!$G$3:$G$502,Leads!$D$3:$D$502,$A56,Leads!$M$3:$M$502,1)</f>
        <v/>
      </c>
      <c r="F56" s="35">
        <f>SUMIFS(Leads!$J$3:$J$502,Leads!$D$3:$D$502,$A56,Leads!$M$3:$M$502,1)</f>
        <v/>
      </c>
    </row>
    <row r="57" ht="15" customHeight="1" s="27">
      <c r="A57" s="26" t="inlineStr">
        <is>
          <t>ADS</t>
        </is>
      </c>
      <c r="B57" s="26">
        <f>COUNTIFS(Leads!$D$3:$D$502,$A57)</f>
        <v/>
      </c>
      <c r="C57" s="26">
        <f>COUNTIFS(Leads!$D$3:$D$502,$A57,Leads!$M$3:$M$502,1)</f>
        <v/>
      </c>
      <c r="D57" s="46">
        <f>IF(B57=0,"",C57/B57)</f>
        <v/>
      </c>
      <c r="E57" s="35">
        <f>SUMIFS(Leads!$G$3:$G$502,Leads!$D$3:$D$502,$A57,Leads!$M$3:$M$502,1)</f>
        <v/>
      </c>
      <c r="F57" s="35">
        <f>SUMIFS(Leads!$J$3:$J$502,Leads!$D$3:$D$502,$A57,Leads!$M$3:$M$502,1)</f>
        <v/>
      </c>
    </row>
    <row r="58" ht="15" customHeight="1" s="27">
      <c r="A58" s="47" t="inlineStr">
        <is>
          <t>All sources</t>
        </is>
      </c>
      <c r="B58" s="47">
        <f>SUM(B51:B57)</f>
        <v/>
      </c>
      <c r="C58" s="47">
        <f>SUM(C51:C57)</f>
        <v/>
      </c>
      <c r="D58" s="48">
        <f>IF(B58=0,"",C58/B58)</f>
        <v/>
      </c>
      <c r="E58" s="49">
        <f>SUM(E51:E57)</f>
        <v/>
      </c>
      <c r="F58" s="49">
        <f>SUM(F51:F57)</f>
        <v/>
      </c>
    </row>
    <row r="60" ht="15" customHeight="1" s="27">
      <c r="A60" s="44" t="inlineStr">
        <is>
          <t>Won = status delivered, invoiced or paid. Conversion = won ÷ leads received in the month. Revenue and commission count won deals only, by the month the lead was received.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7F7F7F"/>
    <outlinePr summaryBelow="1" summaryRight="1"/>
    <pageSetUpPr fitToPage="0"/>
  </sheetPr>
  <dimension ref="A1:C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6" min="1" max="3"/>
  </cols>
  <sheetData>
    <row r="1" ht="15" customHeight="1" s="27">
      <c r="A1" s="50" t="inlineStr">
        <is>
          <t>Source Codes</t>
        </is>
      </c>
      <c r="B1" s="50" t="inlineStr">
        <is>
          <t>Channels</t>
        </is>
      </c>
      <c r="C1" s="50" t="inlineStr">
        <is>
          <t>Statuses</t>
        </is>
      </c>
    </row>
    <row r="2" ht="15" customHeight="1" s="27">
      <c r="A2" s="26" t="inlineStr">
        <is>
          <t>WEB-GC</t>
        </is>
      </c>
      <c r="B2" s="26" t="inlineStr">
        <is>
          <t>WhatsApp</t>
        </is>
      </c>
      <c r="C2" s="26" t="inlineStr">
        <is>
          <t>new</t>
        </is>
      </c>
    </row>
    <row r="3" ht="15" customHeight="1" s="27">
      <c r="A3" s="26" t="inlineStr">
        <is>
          <t>WEB-OSHC</t>
        </is>
      </c>
      <c r="B3" s="26" t="inlineStr">
        <is>
          <t>Form</t>
        </is>
      </c>
      <c r="C3" s="26" t="inlineStr">
        <is>
          <t>quoted</t>
        </is>
      </c>
    </row>
    <row r="4" ht="15" customHeight="1" s="27">
      <c r="A4" s="26" t="inlineStr">
        <is>
          <t>WEB-HRD</t>
        </is>
      </c>
      <c r="B4" s="26" t="inlineStr">
        <is>
          <t>Phone</t>
        </is>
      </c>
      <c r="C4" s="26" t="inlineStr">
        <is>
          <t>confirmed</t>
        </is>
      </c>
    </row>
    <row r="5" ht="15" customHeight="1" s="27">
      <c r="A5" s="26" t="inlineStr">
        <is>
          <t>WEB-FA</t>
        </is>
      </c>
      <c r="B5" s="26" t="inlineStr">
        <is>
          <t>Google profile</t>
        </is>
      </c>
      <c r="C5" s="26" t="inlineStr">
        <is>
          <t>delivered</t>
        </is>
      </c>
    </row>
    <row r="6" ht="15" customHeight="1" s="27">
      <c r="A6" s="26" t="inlineStr">
        <is>
          <t>WEB-GEN</t>
        </is>
      </c>
      <c r="C6" s="26" t="inlineStr">
        <is>
          <t>invoiced</t>
        </is>
      </c>
    </row>
    <row r="7" ht="15" customHeight="1" s="27">
      <c r="A7" s="26" t="inlineStr">
        <is>
          <t>GBP</t>
        </is>
      </c>
      <c r="C7" s="26" t="inlineStr">
        <is>
          <t>paid</t>
        </is>
      </c>
    </row>
    <row r="8" ht="15" customHeight="1" s="27">
      <c r="A8" s="26" t="inlineStr">
        <is>
          <t>ADS</t>
        </is>
      </c>
      <c r="C8" s="26" t="inlineStr">
        <is>
          <t>lost</t>
        </is>
      </c>
    </row>
    <row r="9"/>
    <row r="10"/>
    <row r="11" ht="15" customHeight="1" s="27">
      <c r="A11" s="37" t="inlineStr">
        <is>
          <t>HOW TO USE (from your phone)</t>
        </is>
      </c>
    </row>
    <row r="12" ht="15" customHeight="1" s="27">
      <c r="A12" s="51" t="inlineStr">
        <is>
          <t>1. One row per lead on the Leads tab — fill the white columns only.</t>
        </is>
      </c>
    </row>
    <row r="13" ht="15" customHeight="1" s="27">
      <c r="A13" s="51" t="inlineStr">
        <is>
          <t>2. Source Code, Channel and Status are dropdowns — tap the cell to pick.</t>
        </is>
      </c>
    </row>
    <row r="14" ht="15" customHeight="1" s="27">
      <c r="A14" s="51" t="inlineStr">
        <is>
          <t>3. Deal Value (update to actual on invoice): type the number only (e.g. 1500), no currency symbol.</t>
        </is>
      </c>
    </row>
    <row r="15" ht="15" customHeight="1" s="27">
      <c r="A15" s="51" t="inlineStr">
        <is>
          <t>4. Commission Due = 15% of Deal Value, calculated automatically. Update Deal Value to the invoiced amount when the deal closes.</t>
        </is>
      </c>
    </row>
    <row r="16" ht="15" customHeight="1" s="27">
      <c r="A16" s="51" t="inlineStr">
        <is>
          <t>5. When the client pays you, enter the amount in Commission Paid.</t>
        </is>
      </c>
    </row>
    <row r="17" ht="15" customHeight="1" s="27">
      <c r="A17" s="51" t="inlineStr">
        <is>
          <t>6. Grey columns calculate automatically — do not type in them.</t>
        </is>
      </c>
    </row>
    <row r="18" ht="15" customHeight="1" s="27">
      <c r="A18" s="51" t="inlineStr">
        <is>
          <t>7. An amber row means the lead has been sitting at 'quoted' over 14 days — follow it up.</t>
        </is>
      </c>
    </row>
    <row r="19" ht="15" customHeight="1" s="27">
      <c r="A19" s="51" t="inlineStr">
        <is>
          <t>8. Monthly Rollup tab: set the Start month and Report month once; everything else updates itself.</t>
        </is>
      </c>
    </row>
    <row r="20" ht="15" customHeight="1" s="27">
      <c r="A20" s="51" t="inlineStr">
        <is>
          <t>9. 'Won' = status delivered, invoiced or paid. Conversion = won ÷ leads received.</t>
        </is>
      </c>
    </row>
    <row r="21" ht="15" customHeight="1" s="27">
      <c r="A21" s="51" t="inlineStr">
        <is>
          <t>10. Delete the 5 SAMPLE rows on the Leads tab when you start entering real leads.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2026-09-16T06:18:34Z</dcterms:created>
  <dcterms:modified xmlns:dcterms="http://purl.org/dc/terms/" xmlns:xsi="http://www.w3.org/2001/XMLSchema-instance" xsi:type="dcterms:W3CDTF">2026-09-16T07:34:52Z</dcterms:modified>
  <cp:revision>0</cp:revision>
</cp:coreProperties>
</file>